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55b91f077f5673d/Escritorio/41 ALTO/42/43/44/"/>
    </mc:Choice>
  </mc:AlternateContent>
  <xr:revisionPtr revIDLastSave="220" documentId="13_ncr:1_{3ABBE672-C1FF-4B83-9EAF-BA1413D9F230}" xr6:coauthVersionLast="47" xr6:coauthVersionMax="47" xr10:uidLastSave="{E0D1317E-F493-45A8-B851-DE75C2F1D292}"/>
  <bookViews>
    <workbookView xWindow="-108" yWindow="-108" windowWidth="23256" windowHeight="13896" xr2:uid="{00000000-000D-0000-FFFF-FFFF00000000}"/>
  </bookViews>
  <sheets>
    <sheet name="TOMA DE PEDIDOS" sheetId="1" r:id="rId1"/>
    <sheet name="Stock" sheetId="2" state="hidden" r:id="rId2"/>
    <sheet name="Hoja2" sheetId="3" state="hidden" r:id="rId3"/>
    <sheet name="Hoja1" sheetId="4" state="hidden" r:id="rId4"/>
    <sheet name="BD jeans Dama" sheetId="5" r:id="rId5"/>
    <sheet name="Cálculo Intereses" sheetId="6" r:id="rId6"/>
    <sheet name="Hoja3" sheetId="7" state="hidden" r:id="rId7"/>
    <sheet name="Respaldo" sheetId="8" state="hidden" r:id="rId8"/>
    <sheet name="BASE DE DATOS OFICIAL" sheetId="9" state="hidden" r:id="rId9"/>
    <sheet name="BD_COMPARATIVA" sheetId="10" state="hidden" r:id="rId10"/>
    <sheet name="TRAYECTORIA" sheetId="11" state="hidden" r:id="rId11"/>
    <sheet name="DESCUENTO COLE 18" sheetId="12" state="hidden" r:id="rId12"/>
    <sheet name="CONTRAFACTURA" sheetId="13" state="hidden" r:id="rId13"/>
  </sheets>
  <definedNames>
    <definedName name="_xlnm._FilterDatabase" localSheetId="4" hidden="1">'BD jeans Dama'!$A$437:$G$477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Dama'!$A$1:$F$1459</definedName>
    <definedName name="jeans2" comment="para búsqueda por código, sin pistola">'BD jeans Dama'!$B$1:$I$611</definedName>
    <definedName name="jeanss">'BD jeans Dama'!#REF!</definedName>
    <definedName name="jeansss">'BD jeans Dama'!$A$1:$F$4099</definedName>
    <definedName name="jn">'BD jeans Dama'!#REF!</definedName>
    <definedName name="jnss">'BD jeans Dama'!$A$2:$F$573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5" i="9" l="1"/>
  <c r="Z162" i="9"/>
  <c r="Z161" i="9"/>
  <c r="Z160" i="9"/>
  <c r="Z159" i="9"/>
  <c r="Z158" i="9"/>
  <c r="Z157" i="9"/>
  <c r="Z156" i="9"/>
  <c r="Z155" i="9"/>
  <c r="Z154" i="9"/>
  <c r="Z153" i="9"/>
  <c r="Z150" i="9"/>
  <c r="Z149" i="9"/>
  <c r="Z148" i="9"/>
  <c r="Z145" i="9"/>
  <c r="Z143" i="9"/>
  <c r="Z142" i="9"/>
  <c r="Z138" i="9"/>
  <c r="Z134" i="9"/>
  <c r="Z133" i="9"/>
  <c r="Z132" i="9"/>
  <c r="Z131" i="9"/>
  <c r="Z130" i="9"/>
  <c r="Z129" i="9"/>
  <c r="Z126" i="9"/>
  <c r="Z124" i="9"/>
  <c r="Z123" i="9"/>
  <c r="Z122" i="9"/>
  <c r="Z121" i="9"/>
  <c r="Z120" i="9"/>
  <c r="Z119" i="9"/>
  <c r="Z118" i="9"/>
  <c r="Z117" i="9"/>
  <c r="Z116" i="9"/>
  <c r="Z115" i="9"/>
  <c r="Z114" i="9"/>
  <c r="Z113" i="9"/>
  <c r="Z112" i="9"/>
  <c r="Z111" i="9"/>
  <c r="Z110" i="9"/>
  <c r="Z109" i="9"/>
  <c r="U109" i="9"/>
  <c r="Z108" i="9"/>
  <c r="Z107" i="9"/>
  <c r="Z106" i="9"/>
  <c r="Z105" i="9"/>
  <c r="Z104" i="9"/>
  <c r="Z103" i="9"/>
  <c r="Z102" i="9"/>
  <c r="Z101" i="9"/>
  <c r="Z100" i="9"/>
  <c r="Z99" i="9"/>
  <c r="U99" i="9"/>
  <c r="Z98" i="9"/>
  <c r="Z97" i="9"/>
  <c r="Z96" i="9"/>
  <c r="U96" i="9"/>
  <c r="Z95" i="9"/>
  <c r="Z94" i="9"/>
  <c r="U94" i="9"/>
  <c r="Z93" i="9"/>
  <c r="Z92" i="9"/>
  <c r="Z91" i="9"/>
  <c r="U91" i="9"/>
  <c r="Z90" i="9"/>
  <c r="Z89" i="9"/>
  <c r="Z88" i="9"/>
  <c r="Z87" i="9"/>
  <c r="Z86" i="9"/>
  <c r="Z85" i="9"/>
  <c r="Z84" i="9"/>
  <c r="Z83" i="9"/>
  <c r="Z82" i="9"/>
  <c r="Z81" i="9"/>
  <c r="Z80" i="9"/>
  <c r="Z79" i="9"/>
  <c r="Z78" i="9"/>
  <c r="Z77" i="9"/>
  <c r="U77" i="9"/>
  <c r="Z76" i="9"/>
  <c r="Z75" i="9"/>
  <c r="Z74" i="9"/>
  <c r="Z73" i="9"/>
  <c r="Z72" i="9"/>
  <c r="Z71" i="9"/>
  <c r="Z70" i="9"/>
  <c r="Z69" i="9"/>
  <c r="Z68" i="9"/>
  <c r="Z67" i="9"/>
  <c r="Z66" i="9"/>
  <c r="Z65" i="9"/>
  <c r="Z64" i="9"/>
  <c r="Z63" i="9"/>
  <c r="U63" i="9"/>
  <c r="Z62" i="9"/>
  <c r="Z61" i="9"/>
  <c r="Z60" i="9"/>
  <c r="Z59" i="9"/>
  <c r="Z58" i="9"/>
  <c r="Z57" i="9"/>
  <c r="Z56" i="9"/>
  <c r="Z55" i="9"/>
  <c r="Z54" i="9"/>
  <c r="Z53" i="9"/>
  <c r="Z52" i="9"/>
  <c r="Z51" i="9"/>
  <c r="Z50" i="9"/>
  <c r="Z49" i="9"/>
  <c r="Z48" i="9"/>
  <c r="Z47" i="9"/>
  <c r="Z46" i="9"/>
  <c r="Z45" i="9"/>
  <c r="Z44" i="9"/>
  <c r="Z43" i="9"/>
  <c r="Z42" i="9"/>
  <c r="Z41" i="9"/>
  <c r="Z40" i="9"/>
  <c r="Z39" i="9"/>
  <c r="Z38" i="9"/>
  <c r="Z37" i="9"/>
  <c r="Z36" i="9"/>
  <c r="Z35" i="9"/>
  <c r="Z34" i="9"/>
  <c r="Z33" i="9"/>
  <c r="Z32" i="9"/>
  <c r="Z31" i="9"/>
  <c r="Z30" i="9"/>
  <c r="Z29" i="9"/>
  <c r="Z28" i="9"/>
  <c r="Z27" i="9"/>
  <c r="Z26" i="9"/>
  <c r="Z25" i="9"/>
  <c r="Z24" i="9"/>
  <c r="U24" i="9"/>
  <c r="Z23" i="9"/>
  <c r="Z22" i="9"/>
  <c r="U22" i="9"/>
  <c r="Z21" i="9"/>
  <c r="Z20" i="9"/>
  <c r="Z19" i="9"/>
  <c r="Z18" i="9"/>
  <c r="U18" i="9"/>
  <c r="Z17" i="9"/>
  <c r="Z16" i="9"/>
  <c r="Z15" i="9"/>
  <c r="Z14" i="9"/>
  <c r="Z13" i="9"/>
  <c r="Z12" i="9"/>
  <c r="Z11" i="9"/>
  <c r="Z10" i="9"/>
  <c r="Z9" i="9"/>
  <c r="Z8" i="9"/>
  <c r="Z7" i="9"/>
  <c r="U7" i="9"/>
  <c r="Z6" i="9"/>
  <c r="Z5" i="9"/>
  <c r="Z4" i="9"/>
  <c r="U109" i="8"/>
  <c r="U99" i="8"/>
  <c r="U96" i="8"/>
  <c r="U94" i="8"/>
  <c r="U91" i="8"/>
  <c r="U77" i="8"/>
  <c r="U63" i="8"/>
  <c r="U24" i="8"/>
  <c r="U22" i="8"/>
  <c r="U18" i="8"/>
  <c r="U7" i="8"/>
  <c r="A21" i="6"/>
  <c r="C21" i="6" s="1"/>
  <c r="A20" i="6"/>
  <c r="C20" i="6" s="1"/>
  <c r="A19" i="6"/>
  <c r="C19" i="6" s="1"/>
  <c r="A18" i="6"/>
  <c r="C18" i="6" s="1"/>
  <c r="A17" i="6"/>
  <c r="A16" i="6"/>
  <c r="A15" i="6"/>
  <c r="A14" i="6"/>
  <c r="A13" i="6"/>
  <c r="B12" i="6"/>
  <c r="B13" i="6" s="1"/>
  <c r="B14" i="6" s="1"/>
  <c r="A12" i="6"/>
  <c r="B9" i="6"/>
  <c r="S59" i="1"/>
  <c r="Q59" i="1"/>
  <c r="E59" i="1"/>
  <c r="D59" i="1"/>
  <c r="C59" i="1"/>
  <c r="S58" i="1"/>
  <c r="Q58" i="1"/>
  <c r="E58" i="1"/>
  <c r="D58" i="1"/>
  <c r="C58" i="1"/>
  <c r="S57" i="1"/>
  <c r="Q57" i="1"/>
  <c r="E57" i="1"/>
  <c r="D57" i="1"/>
  <c r="C57" i="1"/>
  <c r="S56" i="1"/>
  <c r="Q56" i="1"/>
  <c r="E56" i="1"/>
  <c r="D56" i="1"/>
  <c r="C56" i="1"/>
  <c r="S55" i="1"/>
  <c r="Q55" i="1"/>
  <c r="E55" i="1"/>
  <c r="D55" i="1"/>
  <c r="C55" i="1"/>
  <c r="S54" i="1"/>
  <c r="Q54" i="1"/>
  <c r="E54" i="1"/>
  <c r="D54" i="1"/>
  <c r="C54" i="1"/>
  <c r="S53" i="1"/>
  <c r="Q53" i="1"/>
  <c r="E53" i="1"/>
  <c r="D53" i="1"/>
  <c r="C53" i="1"/>
  <c r="S52" i="1"/>
  <c r="Q52" i="1"/>
  <c r="E52" i="1"/>
  <c r="D52" i="1"/>
  <c r="C52" i="1"/>
  <c r="S51" i="1"/>
  <c r="Q51" i="1"/>
  <c r="E51" i="1"/>
  <c r="D51" i="1"/>
  <c r="C51" i="1"/>
  <c r="S50" i="1"/>
  <c r="Q50" i="1"/>
  <c r="E50" i="1"/>
  <c r="D50" i="1"/>
  <c r="C50" i="1"/>
  <c r="S49" i="1"/>
  <c r="Q49" i="1"/>
  <c r="E49" i="1"/>
  <c r="D49" i="1"/>
  <c r="C49" i="1"/>
  <c r="S48" i="1"/>
  <c r="Q48" i="1"/>
  <c r="E48" i="1"/>
  <c r="D48" i="1"/>
  <c r="C48" i="1"/>
  <c r="S47" i="1"/>
  <c r="Q47" i="1"/>
  <c r="E47" i="1"/>
  <c r="D47" i="1"/>
  <c r="C47" i="1"/>
  <c r="S46" i="1"/>
  <c r="Q46" i="1"/>
  <c r="E46" i="1"/>
  <c r="D46" i="1"/>
  <c r="C46" i="1"/>
  <c r="S45" i="1"/>
  <c r="Q45" i="1"/>
  <c r="E45" i="1"/>
  <c r="D45" i="1"/>
  <c r="C45" i="1"/>
  <c r="S44" i="1"/>
  <c r="Q44" i="1"/>
  <c r="E44" i="1"/>
  <c r="D44" i="1"/>
  <c r="C44" i="1"/>
  <c r="S43" i="1"/>
  <c r="Q43" i="1"/>
  <c r="E43" i="1"/>
  <c r="D43" i="1"/>
  <c r="C43" i="1"/>
  <c r="S42" i="1"/>
  <c r="Q42" i="1"/>
  <c r="E42" i="1"/>
  <c r="D42" i="1"/>
  <c r="C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Q19" i="1"/>
  <c r="B19" i="1"/>
  <c r="Q18" i="1"/>
  <c r="B18" i="1"/>
  <c r="Q17" i="1"/>
  <c r="Q16" i="1"/>
  <c r="Q15" i="1"/>
  <c r="T13" i="1"/>
  <c r="S13" i="1"/>
  <c r="Q13" i="1"/>
  <c r="L13" i="1"/>
  <c r="L11" i="1"/>
  <c r="L9" i="1"/>
  <c r="S8" i="1"/>
  <c r="L8" i="1"/>
  <c r="S7" i="1"/>
  <c r="L7" i="1"/>
  <c r="E7" i="1"/>
  <c r="S6" i="1"/>
  <c r="L6" i="1"/>
  <c r="L4" i="1"/>
  <c r="L3" i="1"/>
  <c r="E3" i="1"/>
  <c r="L2" i="1"/>
  <c r="L1" i="1"/>
  <c r="B436" i="5"/>
  <c r="T45" i="1" l="1"/>
  <c r="T53" i="1"/>
  <c r="T55" i="1"/>
  <c r="T51" i="1"/>
  <c r="C13" i="6"/>
  <c r="C17" i="6"/>
  <c r="C15" i="6"/>
  <c r="T49" i="1"/>
  <c r="T42" i="1"/>
  <c r="T44" i="1"/>
  <c r="T47" i="1"/>
  <c r="T54" i="1"/>
  <c r="E40" i="1"/>
  <c r="T59" i="1"/>
  <c r="T58" i="1"/>
  <c r="C14" i="6"/>
  <c r="T57" i="1"/>
  <c r="T43" i="1"/>
  <c r="T50" i="1"/>
  <c r="B21" i="6"/>
  <c r="C23" i="1"/>
  <c r="S29" i="1"/>
  <c r="T29" i="1" s="1"/>
  <c r="D35" i="1"/>
  <c r="S41" i="1"/>
  <c r="T41" i="1" s="1"/>
  <c r="T52" i="1"/>
  <c r="D18" i="1"/>
  <c r="E24" i="1"/>
  <c r="D30" i="1"/>
  <c r="E36" i="1"/>
  <c r="T48" i="1"/>
  <c r="C16" i="6"/>
  <c r="T46" i="1"/>
  <c r="S19" i="1"/>
  <c r="T19" i="1" s="1"/>
  <c r="D25" i="1"/>
  <c r="S31" i="1"/>
  <c r="T31" i="1" s="1"/>
  <c r="S37" i="1"/>
  <c r="T37" i="1" s="1"/>
  <c r="D26" i="1"/>
  <c r="D38" i="1"/>
  <c r="C12" i="6"/>
  <c r="B18" i="6"/>
  <c r="E21" i="1"/>
  <c r="C27" i="1"/>
  <c r="E33" i="1"/>
  <c r="C39" i="1"/>
  <c r="S22" i="1"/>
  <c r="T22" i="1" s="1"/>
  <c r="S34" i="1"/>
  <c r="T34" i="1" s="1"/>
  <c r="T56" i="1"/>
  <c r="Q60" i="1"/>
  <c r="E16" i="1"/>
  <c r="S21" i="1"/>
  <c r="T21" i="1" s="1"/>
  <c r="E23" i="1"/>
  <c r="C25" i="1"/>
  <c r="S33" i="1"/>
  <c r="T33" i="1" s="1"/>
  <c r="E35" i="1"/>
  <c r="C37" i="1"/>
  <c r="B15" i="6"/>
  <c r="B16" i="6" s="1"/>
  <c r="B17" i="6" s="1"/>
  <c r="B19" i="6"/>
  <c r="C28" i="1"/>
  <c r="C40" i="1"/>
  <c r="C18" i="1"/>
  <c r="E18" i="1"/>
  <c r="D37" i="1"/>
  <c r="E37" i="1"/>
  <c r="E32" i="1"/>
  <c r="C34" i="1"/>
  <c r="D39" i="1"/>
  <c r="C17" i="1"/>
  <c r="D22" i="1"/>
  <c r="S25" i="1"/>
  <c r="T25" i="1" s="1"/>
  <c r="E27" i="1"/>
  <c r="C29" i="1"/>
  <c r="D34" i="1"/>
  <c r="E39" i="1"/>
  <c r="C41" i="1"/>
  <c r="S24" i="1"/>
  <c r="T24" i="1" s="1"/>
  <c r="S36" i="1"/>
  <c r="T36" i="1" s="1"/>
  <c r="D16" i="1"/>
  <c r="D23" i="1"/>
  <c r="C20" i="1"/>
  <c r="E30" i="1"/>
  <c r="S16" i="1"/>
  <c r="T16" i="1" s="1"/>
  <c r="S35" i="1"/>
  <c r="T35" i="1" s="1"/>
  <c r="S18" i="1"/>
  <c r="T18" i="1" s="1"/>
  <c r="C22" i="1"/>
  <c r="D27" i="1"/>
  <c r="D15" i="1"/>
  <c r="S20" i="1"/>
  <c r="T20" i="1" s="1"/>
  <c r="E22" i="1"/>
  <c r="C24" i="1"/>
  <c r="D29" i="1"/>
  <c r="E34" i="1"/>
  <c r="D41" i="1"/>
  <c r="E15" i="1"/>
  <c r="E17" i="1"/>
  <c r="C19" i="1"/>
  <c r="D24" i="1"/>
  <c r="S27" i="1"/>
  <c r="T27" i="1" s="1"/>
  <c r="E29" i="1"/>
  <c r="C31" i="1"/>
  <c r="D36" i="1"/>
  <c r="S39" i="1"/>
  <c r="T39" i="1" s="1"/>
  <c r="E41" i="1"/>
  <c r="B20" i="6"/>
  <c r="E26" i="1"/>
  <c r="E38" i="1"/>
  <c r="S28" i="1"/>
  <c r="T28" i="1" s="1"/>
  <c r="S40" i="1"/>
  <c r="T40" i="1" s="1"/>
  <c r="D20" i="1"/>
  <c r="S23" i="1"/>
  <c r="T23" i="1" s="1"/>
  <c r="E25" i="1"/>
  <c r="S30" i="1"/>
  <c r="T30" i="1" s="1"/>
  <c r="C38" i="1"/>
  <c r="D33" i="1"/>
  <c r="S26" i="1"/>
  <c r="T26" i="1" s="1"/>
  <c r="C32" i="1"/>
  <c r="D32" i="1"/>
  <c r="E20" i="1"/>
  <c r="C15" i="1"/>
  <c r="D17" i="1"/>
  <c r="S32" i="1"/>
  <c r="T32" i="1" s="1"/>
  <c r="C36" i="1"/>
  <c r="D19" i="1"/>
  <c r="C26" i="1"/>
  <c r="D31" i="1"/>
  <c r="S15" i="1"/>
  <c r="T15" i="1" s="1"/>
  <c r="S17" i="1"/>
  <c r="T17" i="1" s="1"/>
  <c r="E19" i="1"/>
  <c r="C21" i="1"/>
  <c r="E31" i="1"/>
  <c r="C33" i="1"/>
  <c r="C16" i="1"/>
  <c r="D28" i="1"/>
  <c r="C35" i="1"/>
  <c r="D40" i="1"/>
  <c r="D21" i="1"/>
  <c r="E28" i="1"/>
  <c r="C30" i="1"/>
  <c r="S38" i="1"/>
  <c r="T38" i="1" s="1"/>
  <c r="C22" i="6" l="1"/>
  <c r="T60" i="1"/>
  <c r="T61" i="1" l="1"/>
  <c r="T62" i="1" s="1"/>
  <c r="T63" i="1" l="1"/>
  <c r="T6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7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7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7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7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7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7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7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7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7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7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7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7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7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8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8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8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8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8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8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8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8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8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8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8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8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8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sharedStrings.xml><?xml version="1.0" encoding="utf-8"?>
<sst xmlns="http://schemas.openxmlformats.org/spreadsheetml/2006/main" count="6821" uniqueCount="2227">
  <si>
    <t>ARTICULO</t>
  </si>
  <si>
    <t>CODIGO</t>
  </si>
  <si>
    <t>DESCRIPCIÓN</t>
  </si>
  <si>
    <t>TIRO</t>
  </si>
  <si>
    <t>BOTA</t>
  </si>
  <si>
    <t>PRECIO</t>
  </si>
  <si>
    <t>Cintura</t>
  </si>
  <si>
    <t>Tobillero</t>
  </si>
  <si>
    <t>Oxford</t>
  </si>
  <si>
    <t>Recto</t>
  </si>
  <si>
    <t>Medio</t>
  </si>
  <si>
    <t xml:space="preserve">Cintura </t>
  </si>
  <si>
    <t>Palazzo</t>
  </si>
  <si>
    <t>Flare</t>
  </si>
  <si>
    <t>Pitillo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</si>
  <si>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</si>
  <si>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</si>
  <si>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</si>
  <si>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</si>
  <si>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</si>
  <si>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</si>
  <si>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</si>
  <si>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</si>
  <si>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</si>
  <si>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</si>
  <si>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</si>
  <si>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</si>
  <si>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</si>
  <si>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</si>
  <si>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</si>
  <si>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</si>
  <si>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Palazo</t>
  </si>
  <si>
    <t>bio medio relojero largo 3 costuras Bol Ovala</t>
  </si>
  <si>
    <t>4036-90</t>
  </si>
  <si>
    <t>Wide leg</t>
  </si>
  <si>
    <t>4063-00</t>
  </si>
  <si>
    <t xml:space="preserve">Celeste Cargo 4 Bols. Con Fuelle </t>
  </si>
  <si>
    <t>4063-02</t>
  </si>
  <si>
    <t>4002-00</t>
  </si>
  <si>
    <t>4002-03</t>
  </si>
  <si>
    <t xml:space="preserve">Blanco Clasico </t>
  </si>
  <si>
    <t>WIDE LEG</t>
  </si>
  <si>
    <t xml:space="preserve">Bio azul Doble Pasador  Del.  Bol. Ovalado </t>
  </si>
  <si>
    <t xml:space="preserve">CELESTE  Foca. Pretina Manual 3 Costuras </t>
  </si>
  <si>
    <t>Bio Medio Pretina Manual</t>
  </si>
  <si>
    <t>4002-01</t>
  </si>
  <si>
    <t xml:space="preserve">Bio Medio Foca. Pretina Manual 3 Costuras </t>
  </si>
  <si>
    <t xml:space="preserve"> Celeste Pretina Manual </t>
  </si>
  <si>
    <t>4007-90</t>
  </si>
  <si>
    <t>4004-00</t>
  </si>
  <si>
    <t>Bio Oscuro Sin Pinzas Traseras</t>
  </si>
  <si>
    <t>Azul Oscuro Bol. Delanteros 3 Costuras</t>
  </si>
  <si>
    <t>4004-01</t>
  </si>
  <si>
    <t>Bio Medio Sin Pinzas Traseras</t>
  </si>
  <si>
    <t>Bio Medio  Bol. Delanteros 3 Costuras</t>
  </si>
  <si>
    <t>4015-90</t>
  </si>
  <si>
    <t>4007-00</t>
  </si>
  <si>
    <t>Bio Celeste Push in Push Up Bordado M</t>
  </si>
  <si>
    <t>GLITTER  Push in Push Up Bordado M</t>
  </si>
  <si>
    <t>4011-00</t>
  </si>
  <si>
    <t>NEGRO   Bols. Argentino Pinzas Largas</t>
  </si>
  <si>
    <t>4011-01</t>
  </si>
  <si>
    <t>NEGRO  Bols. Argentino Pinzas Largas</t>
  </si>
  <si>
    <t>4062-00</t>
  </si>
  <si>
    <t xml:space="preserve">4011-01 </t>
  </si>
  <si>
    <t>GRIS Bols. Argentino Pinzas Largas</t>
  </si>
  <si>
    <t>4062-09</t>
  </si>
  <si>
    <t>4012-00</t>
  </si>
  <si>
    <t>CELESTE   Doble Relojero ojal Sin basta</t>
  </si>
  <si>
    <t>4012-01</t>
  </si>
  <si>
    <t>GRAVILLADO Celeste  Doble Relojero ojal Sin basta</t>
  </si>
  <si>
    <t>4017-00</t>
  </si>
  <si>
    <t>Gravillado Celeste Doble Relojero ojal Sin basta</t>
  </si>
  <si>
    <t>4017-03</t>
  </si>
  <si>
    <t>4015-00</t>
  </si>
  <si>
    <t xml:space="preserve">Bio Medio  Pretina Cruzada </t>
  </si>
  <si>
    <t>4015-01</t>
  </si>
  <si>
    <t xml:space="preserve">Gravillado Pretina Cruzada </t>
  </si>
  <si>
    <t>4021-90</t>
  </si>
  <si>
    <t>Glitter  Pretina Cruzada Gravillado</t>
  </si>
  <si>
    <t>4016-00</t>
  </si>
  <si>
    <t>BIO Celeste Relojero Destr. Bol. Ovalados</t>
  </si>
  <si>
    <t>4016-01</t>
  </si>
  <si>
    <t xml:space="preserve">BIO CELESTE SIN ROTURA </t>
  </si>
  <si>
    <t>Bio Medio Doble Relojero Bol. Tras Corte</t>
  </si>
  <si>
    <t>4017-01</t>
  </si>
  <si>
    <t>Bio azul  2 Relojeros Bols. Trasero con Corte</t>
  </si>
  <si>
    <t xml:space="preserve">Celeste </t>
  </si>
  <si>
    <t>4021-00</t>
  </si>
  <si>
    <t>Bio Celeste Vista Diagonal Costura Bols</t>
  </si>
  <si>
    <t>GLITTER Vista Diagonal Costura Bols</t>
  </si>
  <si>
    <t>4023-00</t>
  </si>
  <si>
    <t xml:space="preserve">Bio Oscuro Tajali sin Basta </t>
  </si>
  <si>
    <t>4023-90</t>
  </si>
  <si>
    <t>GLITTER</t>
  </si>
  <si>
    <t>4025-00</t>
  </si>
  <si>
    <t xml:space="preserve">Gris Cargo Bols.4  Con Fuelle </t>
  </si>
  <si>
    <t>4025-01</t>
  </si>
  <si>
    <t xml:space="preserve">Negro Cargo Bols.4  Con Fuelle </t>
  </si>
  <si>
    <t>4027-00</t>
  </si>
  <si>
    <t>Gravillado Azul  Con Tela Añadida Azul</t>
  </si>
  <si>
    <t>4027-01</t>
  </si>
  <si>
    <t>Bio Celeste con Tela Añadida Azul</t>
  </si>
  <si>
    <t>4029-00</t>
  </si>
  <si>
    <t>Bio Celeste 1 Pinza  Roturas en Bols Trase</t>
  </si>
  <si>
    <t>FLARE</t>
  </si>
  <si>
    <t>4029-01</t>
  </si>
  <si>
    <t>Bio Celeste 1 Pinza   SIN ROTURAS</t>
  </si>
  <si>
    <t>4036-00</t>
  </si>
  <si>
    <t xml:space="preserve">flare </t>
  </si>
  <si>
    <t>4056-00</t>
  </si>
  <si>
    <t>Negro  Pinza Lateral Bols. Tras. M</t>
  </si>
  <si>
    <t>4056-01</t>
  </si>
  <si>
    <t>Gris Pnza Lateral Bols Corte M</t>
  </si>
  <si>
    <t>4057-00</t>
  </si>
  <si>
    <t>Negro Push in Pinza Lateral Bols. Corte M</t>
  </si>
  <si>
    <t xml:space="preserve">Flare </t>
  </si>
  <si>
    <t>4057-01</t>
  </si>
  <si>
    <t>MARENGO  Push in Pinza Lateral Bols. Corte M</t>
  </si>
  <si>
    <t>4059-00</t>
  </si>
  <si>
    <t>NEGRO  focalizado Tenue Doble Pasador tras</t>
  </si>
  <si>
    <t>Negro Bols. Tras. Ovalados Doble Pasador tras</t>
  </si>
  <si>
    <t>4059-01</t>
  </si>
  <si>
    <t>Gris focalizado Tenue Doble Pasador tras</t>
  </si>
  <si>
    <t>GRIS  Bols. Tras. Ovalados Doble Pasador tras</t>
  </si>
  <si>
    <t>4060-00</t>
  </si>
  <si>
    <t>4060-06</t>
  </si>
  <si>
    <t>BEIGE Pasador delantero en  v</t>
  </si>
  <si>
    <t>4060-30</t>
  </si>
  <si>
    <t>Ostra  Pasador Delantero en V</t>
  </si>
  <si>
    <t>4061-00</t>
  </si>
  <si>
    <t>BLANCO Bols. Relojero 3 Pinzas</t>
  </si>
  <si>
    <t>4061-06</t>
  </si>
  <si>
    <t>BEIGE  Bolsillo Relojero 3 Pinzas</t>
  </si>
  <si>
    <t>4061-38</t>
  </si>
  <si>
    <t xml:space="preserve">OSTRA  Bols. Relojero 3 Pinzas 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</si>
  <si>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</si>
  <si>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</si>
  <si>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</si>
  <si>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</si>
  <si>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</si>
  <si>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</si>
  <si>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 xml:space="preserve">NEGRO  4 bols. Delanteros </t>
  </si>
  <si>
    <t>4063-01</t>
  </si>
  <si>
    <t>Gravillado  GRIS 4 Bols. Delantero</t>
  </si>
  <si>
    <t>4064-01</t>
  </si>
  <si>
    <t>Bio Medio Pasador Doble SIN ROTURAS</t>
  </si>
  <si>
    <t>4065-00</t>
  </si>
  <si>
    <t xml:space="preserve">BLANCO Pretina Desflecada </t>
  </si>
  <si>
    <t>4065-06</t>
  </si>
  <si>
    <t xml:space="preserve">BEIGE  Pretina Desflecada </t>
  </si>
  <si>
    <t>4065-38</t>
  </si>
  <si>
    <t xml:space="preserve">OSTRA Pretina Desflecada </t>
  </si>
  <si>
    <t>4065-60</t>
  </si>
  <si>
    <t>BEIGE Pretina Desflecada TACHAS</t>
  </si>
  <si>
    <t>4066-30</t>
  </si>
  <si>
    <t>4066-60</t>
  </si>
  <si>
    <t xml:space="preserve">NEGRO  TACHAS </t>
  </si>
  <si>
    <t>4067-60</t>
  </si>
  <si>
    <t>BIO MEDIO Destroyed  Basta TACHAS</t>
  </si>
  <si>
    <t>4070-38</t>
  </si>
  <si>
    <t xml:space="preserve">OSTRA  Pretina Desflecada </t>
  </si>
  <si>
    <t>4071-00</t>
  </si>
  <si>
    <t>NEGRO Vestido</t>
  </si>
  <si>
    <t>VESTIDO</t>
  </si>
  <si>
    <t>CASACON</t>
  </si>
  <si>
    <t>4071-01</t>
  </si>
  <si>
    <t>GRIS GRAVILLADO</t>
  </si>
  <si>
    <t>4073-01</t>
  </si>
  <si>
    <t xml:space="preserve">CASACA  BLANCA </t>
  </si>
  <si>
    <t>4073-00</t>
  </si>
  <si>
    <t>CASACA NEGRA</t>
  </si>
  <si>
    <t>4072-01</t>
  </si>
  <si>
    <t xml:space="preserve">BLASER GRIS </t>
  </si>
  <si>
    <t>4072-00</t>
  </si>
  <si>
    <t>BLASER NEGRO</t>
  </si>
  <si>
    <t>CASACA OVER SIDE</t>
  </si>
  <si>
    <t>OXIDADO</t>
  </si>
  <si>
    <t xml:space="preserve">GUILETTE CON CIERRE </t>
  </si>
  <si>
    <t xml:space="preserve">SIN </t>
  </si>
  <si>
    <t>MANGA</t>
  </si>
  <si>
    <t>3834-60</t>
  </si>
  <si>
    <t>GRIS CON TACHAS</t>
  </si>
  <si>
    <t>PALAZZO</t>
  </si>
  <si>
    <t>4124-01</t>
  </si>
  <si>
    <t>DESFLECADO  BOLSILLOS COLOR 4157</t>
  </si>
  <si>
    <t>OXFORD</t>
  </si>
  <si>
    <t>4125-00</t>
  </si>
  <si>
    <t xml:space="preserve">NEGRO FOCALIZADO  PUSH IN PUSH UP </t>
  </si>
  <si>
    <t>4135-01</t>
  </si>
  <si>
    <t>BIO MEDIO AZUL   CONTES EN BASTA COLOR (  4157 )</t>
  </si>
  <si>
    <t>MEDIO</t>
  </si>
  <si>
    <t>TOBILLERO</t>
  </si>
  <si>
    <t>4135-60</t>
  </si>
  <si>
    <t xml:space="preserve">CON TACHAS   CONTES EN BASTA </t>
  </si>
  <si>
    <t>4135-61</t>
  </si>
  <si>
    <t>CON TACHAS   COLOR OSCURO   4157</t>
  </si>
  <si>
    <t>4142-61</t>
  </si>
  <si>
    <t xml:space="preserve">BIO CELESTE FOC. BOL.TRAS.OVALADOS </t>
  </si>
  <si>
    <t>PITILLO</t>
  </si>
  <si>
    <t>4147-60</t>
  </si>
  <si>
    <t>JEANS RELOJERO EN PRETINA</t>
  </si>
  <si>
    <t>4148-00</t>
  </si>
  <si>
    <t>JEANS  PITILLO 5 BOLSILLOS</t>
  </si>
  <si>
    <t>4148-06</t>
  </si>
  <si>
    <t>CLASICO BEIGE</t>
  </si>
  <si>
    <t>4148-38</t>
  </si>
  <si>
    <t>JEANS 5 BOLSILLO</t>
  </si>
  <si>
    <t>4148-60</t>
  </si>
  <si>
    <t xml:space="preserve">BLANCO ESTRELLAS TACHAS </t>
  </si>
  <si>
    <t>4149-60</t>
  </si>
  <si>
    <t>TACHAS</t>
  </si>
  <si>
    <t>4157-00</t>
  </si>
  <si>
    <t>AZUL CON CORTES</t>
  </si>
  <si>
    <t>4157-01</t>
  </si>
  <si>
    <t>CELESTE CORTES</t>
  </si>
  <si>
    <t>4169-00</t>
  </si>
  <si>
    <t>NEGRO   PUSH IN PUSH UP</t>
  </si>
  <si>
    <t>4169-01</t>
  </si>
  <si>
    <t xml:space="preserve">MARENGO </t>
  </si>
  <si>
    <t>PUSH IN PUSH UP</t>
  </si>
  <si>
    <t>4170-00</t>
  </si>
  <si>
    <t>jeans  bolsillo tarsero M</t>
  </si>
  <si>
    <t>4170-01</t>
  </si>
  <si>
    <t xml:space="preserve">GRABILLADO GRIS </t>
  </si>
  <si>
    <t>4171-00</t>
  </si>
  <si>
    <t xml:space="preserve"> FALDA BLACO MINI CARGO</t>
  </si>
  <si>
    <t>4180-60</t>
  </si>
  <si>
    <t>SHORT</t>
  </si>
  <si>
    <t>Celeste     Estrella</t>
  </si>
  <si>
    <t xml:space="preserve">PASADORES GRANDES </t>
  </si>
  <si>
    <t>JEANS PASADOR ANCHO</t>
  </si>
  <si>
    <t>CINTIURA</t>
  </si>
  <si>
    <t>BOLSILLOS DELANTEROS PARCHES Bol. CUADRADOS</t>
  </si>
  <si>
    <t xml:space="preserve"> bolsillo delantero</t>
  </si>
  <si>
    <t>palazzo</t>
  </si>
  <si>
    <t>jeans  oxford5 bolsillos</t>
  </si>
  <si>
    <t xml:space="preserve">NEGRO 5 BOTONES </t>
  </si>
  <si>
    <t>jeans  botonera delantero</t>
  </si>
  <si>
    <t>flare</t>
  </si>
  <si>
    <t>CELESTE FOCAL. CON PASADOR DEL DELANTERO A BOL. TRASERO</t>
  </si>
  <si>
    <t xml:space="preserve">CADERA </t>
  </si>
  <si>
    <t xml:space="preserve">OXFORD </t>
  </si>
  <si>
    <t xml:space="preserve">FALDA CON CORTES </t>
  </si>
  <si>
    <t xml:space="preserve">CAMISA </t>
  </si>
  <si>
    <t>CELESTE</t>
  </si>
  <si>
    <t>M/LARGA</t>
  </si>
  <si>
    <t xml:space="preserve">BIO CELESTE   BOLSILLOS TRAS M </t>
  </si>
  <si>
    <t>CELESTE DOBLE RELOJERO BOLS. TRAS.  M</t>
  </si>
  <si>
    <t xml:space="preserve">GUILETTE  </t>
  </si>
  <si>
    <t>4124-00</t>
  </si>
  <si>
    <t>CELESTE  FLECOS EN BOLSILLOS</t>
  </si>
  <si>
    <t>NEGRO</t>
  </si>
  <si>
    <t>APLICACIÓN EN LA CINTURA CON PASADOR LARGO 3 COSTURAS</t>
  </si>
  <si>
    <t xml:space="preserve">CELESTE CON CORTES EN BASTA </t>
  </si>
  <si>
    <t>RELOJERO LATERAL BOLS. TRASEROS OVALADOS CON CORTES</t>
  </si>
  <si>
    <t>TODILLERO</t>
  </si>
  <si>
    <t>CELESTE CON  FOC DOBLE PASADOR DELANTERO PUSH IN PUSH UP</t>
  </si>
  <si>
    <t>JEANS 5 BOLSIILO , BOLSILLO TRSERO CURVO</t>
  </si>
  <si>
    <t>medio</t>
  </si>
  <si>
    <t>tobillero</t>
  </si>
  <si>
    <t>FALADA SHORT CRUZADA</t>
  </si>
  <si>
    <t>4155-00</t>
  </si>
  <si>
    <t>CELESTE  CORTE BOLSILO TRASERO</t>
  </si>
  <si>
    <t>RECTO</t>
  </si>
  <si>
    <t>4155-01</t>
  </si>
  <si>
    <t>BIO MEDIO CORTE BOLSILO TRASERO</t>
  </si>
  <si>
    <t>BIO CELESTE RELOJERO EN PRETINA ETIQUETA ROJA</t>
  </si>
  <si>
    <t>JEANS 5 BOLSILLOS DETALLE EN VISTA</t>
  </si>
  <si>
    <t>CELESTE CON  FOC  CON PASADOR BOL. TRASERO</t>
  </si>
  <si>
    <t xml:space="preserve">CELESTE BOLS. DESFLECADOS </t>
  </si>
  <si>
    <t>JEANS FLECOS EN BOLSILLOS</t>
  </si>
  <si>
    <t xml:space="preserve">BIO CELESTE  1  RELOJERO  BOLSILLOS TRAS. OVALADOS </t>
  </si>
  <si>
    <t>JEANS 5 BOLSILLOS  BASICO</t>
  </si>
  <si>
    <t>JEANS RELOJERO TOPE</t>
  </si>
  <si>
    <t>FALDA SHORT</t>
  </si>
  <si>
    <t xml:space="preserve">MINI FALDA  MARENGO </t>
  </si>
  <si>
    <t>CARGO</t>
  </si>
  <si>
    <t>BLANCO CON LUNA EN VISTAS</t>
  </si>
  <si>
    <t>2 RELOJERO 3 PINZA TRSERO BOLSIMO M CORTE PASADOR V</t>
  </si>
  <si>
    <t>4201-01</t>
  </si>
  <si>
    <t>BIOOSCURO FOCALIZADO 2 RELOJ ANCHO BOLS TRASERO CORTE 3 PINZA TRASERO</t>
  </si>
  <si>
    <t>4201-60</t>
  </si>
  <si>
    <t>BIOOSCURO FOCALIZADO 2 RELOJ ANCHO BOLS TRASERO CORTE 3 PINZA TRAS TACHAS 12PLANAS</t>
  </si>
  <si>
    <t>4201-00</t>
  </si>
  <si>
    <t>BLUE BLACK  FOCALIZADO SIN TACHAS</t>
  </si>
  <si>
    <t>4202-00</t>
  </si>
  <si>
    <t>BIO OSCURO FOCALIZADO2 RELOJ ANCHO  3 COSTURA ALTURA</t>
  </si>
  <si>
    <t>4203-00</t>
  </si>
  <si>
    <t>NEGRO CLASICO 3 PINZAS</t>
  </si>
  <si>
    <t>4203-01</t>
  </si>
  <si>
    <t xml:space="preserve">GRIS GRAVILLADO  CLASICO  3 PINZAS </t>
  </si>
  <si>
    <t>4204-00</t>
  </si>
  <si>
    <t xml:space="preserve">NEGRO   CLASICO  NEGRO 3 PINZAS </t>
  </si>
  <si>
    <t xml:space="preserve">MEDIO </t>
  </si>
  <si>
    <t>4204-01</t>
  </si>
  <si>
    <t>GRAVILLADO CLASICO NEGRO 3 PINZAS</t>
  </si>
  <si>
    <t>4204-02</t>
  </si>
  <si>
    <t>GRIS  FOCALIZADO  BOLS ARGENTINO ELASTICO PRETINA 2 PINZAS</t>
  </si>
  <si>
    <t>4205-00</t>
  </si>
  <si>
    <t>BIO OSCURO  FOCALIZADOSMART DENIM 2 PINZA TRASERO COSTADO</t>
  </si>
  <si>
    <t>4205-01</t>
  </si>
  <si>
    <t>GRAVILLADO FOCALIZADOSMART DENIM 2 PINZA TRASERO COSTADO</t>
  </si>
  <si>
    <t>4206-00</t>
  </si>
  <si>
    <t>NEGRO1 RELOJERO APLICACIÓN ECO CUERO PRETINA 3PINZA TRASERO</t>
  </si>
  <si>
    <t>4208-00</t>
  </si>
  <si>
    <t xml:space="preserve">BIO OSCURO FOCALIZADO TENUE 2 RELOJERO TIPO OJAL 3 PINZA ALTURA </t>
  </si>
  <si>
    <t>4208-01</t>
  </si>
  <si>
    <t xml:space="preserve">BIOMEDIO FOCALIZADO TENUE 2 RELOJERO TIPO OJAL 3 PINZA ALTURA </t>
  </si>
  <si>
    <t>4208-02</t>
  </si>
  <si>
    <t xml:space="preserve">GRAVILLADO FOCALIZADO TENUE 2 RELOJERO TIPO OJAL 3 PINZA ALTURA </t>
  </si>
  <si>
    <t>4209-00</t>
  </si>
  <si>
    <t xml:space="preserve">  NEGRO    RELOJERO OJAL APLICACIÓN ECO CUERO DEL/TRAS</t>
  </si>
  <si>
    <t>4210-00</t>
  </si>
  <si>
    <t>BIO MEDIO FOCALIZADO  TENUE 4 BOTONES   PINZA TRASEROS 2 COSTADO</t>
  </si>
  <si>
    <t>4210-01</t>
  </si>
  <si>
    <t>GRAVILLADO FOCALIZADO  4 BOTONES PINZA TRASEROS 2 COSTADO</t>
  </si>
  <si>
    <t>4211-00</t>
  </si>
  <si>
    <t>BIO OSCURO FOCALIZADOAZUL SUAVISADO SIN PRETINA  PRETINA  BOLSILLO ARGENTINA</t>
  </si>
  <si>
    <t>4211-01</t>
  </si>
  <si>
    <t>GRAVILLADO BIO MEDIO  PRETINA SIN PRETINA   BOLSILLO ARGENTINA</t>
  </si>
  <si>
    <t>4213-00</t>
  </si>
  <si>
    <t>NEGRO FOCALIZADO TENUE CLASICO 3 PINZAS ALTURA</t>
  </si>
  <si>
    <t>4213-01</t>
  </si>
  <si>
    <t>SUAVIZADO  FOCALIZADO TENUE  CLASICO 3 PINZAS ALTURA</t>
  </si>
  <si>
    <t>4214-00</t>
  </si>
  <si>
    <t xml:space="preserve">NEGROCORTE  DELANTERO  3 PINZAS TRASERAS </t>
  </si>
  <si>
    <t>4214-01</t>
  </si>
  <si>
    <t xml:space="preserve">NEGRO FOCALIZADO    CORTE  DELANTERO  3 PINZAS TRASERAS </t>
  </si>
  <si>
    <t>4214-60</t>
  </si>
  <si>
    <t>MARENGO FOCALIZADOCORTE  DELANTERO  3 PINZAS TRASERAS  TACHAS PRETINA</t>
  </si>
  <si>
    <t>4214-02</t>
  </si>
  <si>
    <t xml:space="preserve">GRAVILLADO  FOCALIZADOCORTE  DELANTERO  3 PINZAS TRASERAS  </t>
  </si>
  <si>
    <t>4216-00</t>
  </si>
  <si>
    <t>BIOMEDIO FOCALIZADO PRETINA EN FORMA</t>
  </si>
  <si>
    <t>4217-00</t>
  </si>
  <si>
    <t>NEGRO  PARCHE DELANTERO</t>
  </si>
  <si>
    <t>4218-00</t>
  </si>
  <si>
    <t>BIO OSCURO FOCALIZADO 2 RELOJERO 3 PINZA TRSERO BOLSILLOS M CORTE PASADOR V</t>
  </si>
  <si>
    <t>4218-01</t>
  </si>
  <si>
    <t>GRAVILLADO  BIO 3 PINZA TRSERO BOLSIMO M CORTE PASADOR V</t>
  </si>
  <si>
    <t>4219-00</t>
  </si>
  <si>
    <t>BIOMEDIO FOCALIZADOFLECOS BOLS DELANT Y TRASEROS 2 PINZAS TRASERO</t>
  </si>
  <si>
    <t>4219-01</t>
  </si>
  <si>
    <t>4219-02</t>
  </si>
  <si>
    <t>BIOMEDO OXIDADO  FLECOS BOLS DELANT Y TRASEROS 2 PINZAS TRASERO</t>
  </si>
  <si>
    <t>4220-00</t>
  </si>
  <si>
    <t>BIO MEDIOFOCALIZADO OXIDOCORTE  BOSILLO DELANTERO BOLSILLO TRAS CORTE  ALTURA 3 PINZAS</t>
  </si>
  <si>
    <t>4221-00</t>
  </si>
  <si>
    <t>BIOOSCURO FOCALIZADO PRETINA CRUZADA   3 PINZA TRASERO</t>
  </si>
  <si>
    <t>4221-01</t>
  </si>
  <si>
    <t>BIO MEDIO FOCALIZADOPRETINA CRUZADA  3 PINZA TRASERO</t>
  </si>
  <si>
    <t>4221-90</t>
  </si>
  <si>
    <t>BIO OSCURO GLITTERPRETINA CRUZADA  3 PINZA TRASERO</t>
  </si>
  <si>
    <t>4222-00</t>
  </si>
  <si>
    <t>BIOMEDIO   FOCALIZADO LASER  PASADOR BOLS TRAS/DELANTERO 3 COSTURA ALTURA</t>
  </si>
  <si>
    <t>NEGRO   ECO CUERO TAPETA FORMA</t>
  </si>
  <si>
    <t>4224-00</t>
  </si>
  <si>
    <t xml:space="preserve">BIOMEDIO BOTON DELANTERO 4 </t>
  </si>
  <si>
    <t>4224-01</t>
  </si>
  <si>
    <t>GRAVILLADO BOTON DELANTERO 4</t>
  </si>
  <si>
    <t>4225-00</t>
  </si>
  <si>
    <t xml:space="preserve"> NEGRO  3 PINZATRSERO BOLSILLO TRAS  RELOJ CORTE M PUSHIN PUSH UP</t>
  </si>
  <si>
    <t>4225-01</t>
  </si>
  <si>
    <t xml:space="preserve"> GRAVILLADO 3 PINZATRSERO BOLSILLO TRAS  RELOJ CORTE M PUSHIN PUSH UP</t>
  </si>
  <si>
    <t>BLUE BLACK FOCALIZADO  2 RELOJERO  ANCHO BOLS TRASERO  PINZA+CORTE ALTURA 3 PINZAS</t>
  </si>
  <si>
    <t>4226-01</t>
  </si>
  <si>
    <t>BIO MEDIO FOCALIZADO  2 RELOJERO  ANCHO BOLS TRASERO  PINZA+CORTE ALTURA 3 PINZAS</t>
  </si>
  <si>
    <t>4227-00</t>
  </si>
  <si>
    <t xml:space="preserve">AZUL INDUSTRIAL   DOBLE RELOJERO  2 TONOS DE HILOS </t>
  </si>
  <si>
    <t>RECTO TOBI</t>
  </si>
  <si>
    <t>4227-01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</si>
  <si>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</si>
  <si>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</si>
  <si>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</si>
  <si>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</si>
  <si>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</si>
  <si>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4233-08</t>
  </si>
  <si>
    <t>OCRE  CLASICO 2 PINZAS ALTURA</t>
  </si>
  <si>
    <t>4233-04</t>
  </si>
  <si>
    <t>CHOCOLATE CLASICO 2 PINZAS ALTURA</t>
  </si>
  <si>
    <t>4233-09</t>
  </si>
  <si>
    <t>VERDE MENTA CLASICO 2 PINZAS ALTURA</t>
  </si>
  <si>
    <t>4233-16</t>
  </si>
  <si>
    <t>VERDE OLIVA CLASICO 2 PINZAS TRAS</t>
  </si>
  <si>
    <t>4233-48</t>
  </si>
  <si>
    <t>BURDEO  CLASICO 2 PINZAS TRASERAS</t>
  </si>
  <si>
    <t>4234-04</t>
  </si>
  <si>
    <t xml:space="preserve"> CHOCOLATE RELOJERO EN PRETINA Y PASADOR TRASERO  V</t>
  </si>
  <si>
    <t>4234-08</t>
  </si>
  <si>
    <t>OCRE  RELOJERO EN PRETINA  Y PASADOR TRASERO   V</t>
  </si>
  <si>
    <t>4234-09</t>
  </si>
  <si>
    <t>VERDE MENTA  CLASICO 2 PINZAS TRASERAS</t>
  </si>
  <si>
    <t>4234-16</t>
  </si>
  <si>
    <t>4234-48</t>
  </si>
  <si>
    <t>4235-00</t>
  </si>
  <si>
    <t xml:space="preserve">BIOOSCURO FOCABIGOTES 2 CIERRES EN VISTA DELANTERO 3 PINZA TRASERO DREMEL BOLSILLOS </t>
  </si>
  <si>
    <t>4235-01</t>
  </si>
  <si>
    <t xml:space="preserve">idem 4226-01 laser 2 CIERRES EN VISTA DELANTERO 3 PINZA TRASERO DREMEL BOLSILLOS </t>
  </si>
  <si>
    <t>4236-00</t>
  </si>
  <si>
    <t>BIOMEDIO FOCALIZADO  2 RELOJERO PASADORES  ANCHO BOLS TRASCORTE</t>
  </si>
  <si>
    <t>4238-00</t>
  </si>
  <si>
    <t>MARENGO  FOCALIZADO ESTRELLAS   BOLSILLO SIN BOLSILLOS TRASEROS</t>
  </si>
  <si>
    <t>4239-00</t>
  </si>
  <si>
    <t>GRAVILLADO   GRIS  3 PINZATRSERO BOLSILLO TRAS  RELOJCORTE M PUSHIN PUSH UP</t>
  </si>
  <si>
    <t>4240-00</t>
  </si>
  <si>
    <t>NEGRO1 RELOJERO CORTE TRASERO 1 PINZAS  BOLSILLOS TRASEROS M CORTE</t>
  </si>
  <si>
    <t>4242-00</t>
  </si>
  <si>
    <t>MARENGO FOCALIZADO ESTRELLAS COSTADO</t>
  </si>
  <si>
    <t>4243-00</t>
  </si>
  <si>
    <t>BIO OSCURO  FOCALIZADO3 PINZAS COSTURA ALTURA BOLSILLO DELANTERO 3 COSTURAS</t>
  </si>
  <si>
    <t>4243-01</t>
  </si>
  <si>
    <t>BIO MEDIO FOCALIZADO3 PINZAS COSTURA ALTURA BOLSILLO DELANTERO 3 COSTURAS</t>
  </si>
  <si>
    <t>4244-00</t>
  </si>
  <si>
    <t>BIOMEDIO FOCALIZADOPASADOR BOLS TRAS/DELANTERO 3 COSTURA ALTURA</t>
  </si>
  <si>
    <t>4245-00</t>
  </si>
  <si>
    <t>BIOFOCALIZADO MARENGO 1 RELOJERO GRANDE 3 PINZA ALTURA BOLSILLO OVALADO</t>
  </si>
  <si>
    <t>4246-00</t>
  </si>
  <si>
    <t>MEDIO FOCALIZADO   CORTE DELANTERO   PESPUNTE 2 PINZA TRASERO</t>
  </si>
  <si>
    <t>4247-00</t>
  </si>
  <si>
    <t>BIO MEDIO FOCALIZADO  BOLSILLOS TRASERO OVALADOS</t>
  </si>
  <si>
    <t>4248-00</t>
  </si>
  <si>
    <t>NEGRO     2 PINZA TRASERO  BOLSILLOS CUADRADOS  TRAS</t>
  </si>
  <si>
    <t>4248-01</t>
  </si>
  <si>
    <t>GRIS FOCALIZADO   2 PINZA TRASERO</t>
  </si>
  <si>
    <t>4249-00</t>
  </si>
  <si>
    <t>MARENGO FOLCALIZADO BOLSILLO BOLSA  DELANTERO</t>
  </si>
  <si>
    <t>4249-60</t>
  </si>
  <si>
    <t>MARENGO FOLCALIZADOTACHAS (18) REDONDA BOLSILLO B</t>
  </si>
  <si>
    <t>4250-00</t>
  </si>
  <si>
    <t>4251-60</t>
  </si>
  <si>
    <t>BIO OSCURO  CARGOTACHAS (10) PLANA NIQUEL GD BOL</t>
  </si>
  <si>
    <t>BIO OSCURO FOCALIZADO   2 RELOJERO ANCHO BOLS TRASEROS CON CORTE</t>
  </si>
  <si>
    <t>4257-04</t>
  </si>
  <si>
    <t>RELOJERO PRETINAS CHOCOLATE</t>
  </si>
  <si>
    <t>4257-08</t>
  </si>
  <si>
    <t>RELOJERO PRETINAS OCRE</t>
  </si>
  <si>
    <t>4257-09</t>
  </si>
  <si>
    <t>RELOJERO PRETINAS VERDE MENTA</t>
  </si>
  <si>
    <t>4257-16</t>
  </si>
  <si>
    <t>RELOJERO PRETINAS VERDE OLIVA</t>
  </si>
  <si>
    <t>4257-48</t>
  </si>
  <si>
    <t>RELOJERO PRETINAS BURDEO</t>
  </si>
  <si>
    <t>4205-02</t>
  </si>
  <si>
    <t>BIOMEDIO FOCALIZADOSMART DENIM 2 PINZA TRASERO COSTADO</t>
  </si>
  <si>
    <t>4207-00</t>
  </si>
  <si>
    <t>BIOOSCURO FOCALIZADO  CARGO</t>
  </si>
  <si>
    <t>Jeans negro, 2 Cierres bajo pretina</t>
  </si>
  <si>
    <t>B2878V-3</t>
  </si>
  <si>
    <t>Cierres dorados en vista</t>
  </si>
  <si>
    <t>Cintura Recto, Cinturón pasador, hebilla media luna</t>
  </si>
  <si>
    <t>Sin Foto</t>
  </si>
  <si>
    <t>Jeans suavizado Negro Pitillo, pasador en V</t>
  </si>
  <si>
    <t>Jeans  Push in/Push up, Marengo</t>
  </si>
  <si>
    <t>B2868-V3</t>
  </si>
  <si>
    <t>Jeans Gris, Push in/Push up, Gris Claro</t>
  </si>
  <si>
    <t>Cintura Flare, Push in/Push up, clásico</t>
  </si>
  <si>
    <t>Jeans Cintura Flare, 3 pinzas, bolsillo trasero con corte en M</t>
  </si>
  <si>
    <t>Jeans Cintura  Pitillo, bolsillo ovalado Gris, sin tachas</t>
  </si>
  <si>
    <t>Jeans Cintura  Pitillo, bolsillo ovalado Gris, tachas</t>
  </si>
  <si>
    <t>Jeans Cintura  Pitillo, bolsillo ovalado Gravillado, con tachas</t>
  </si>
  <si>
    <t>Jeans Cintura  Pitillo, bolsillo ovalado MARENGO, con tachas</t>
  </si>
  <si>
    <t>-</t>
  </si>
  <si>
    <t>Cintura Flare,pasador cruzado, cierre izquierdo, Bio Oscuro</t>
  </si>
  <si>
    <t>Jeans Cintura Fllare Negro Pretina ancha, 2 botones</t>
  </si>
  <si>
    <t>Jeans Cintura Fllare Negro Pretina c/tacha, , 2 botones</t>
  </si>
  <si>
    <t>Jeans Cintura Fllare Gris Pretina c/tacha, 2 botones</t>
  </si>
  <si>
    <t>Jeans Cintura Fllare Gris Pretina ancha, 2 botones</t>
  </si>
  <si>
    <t>Cintura Recto, Repaso de costura, Presilla en costura, BMF</t>
  </si>
  <si>
    <t>Racto</t>
  </si>
  <si>
    <t>Jean Cintura Wide Leg,  pretina en V, BM rep costura</t>
  </si>
  <si>
    <t>Wide Leg</t>
  </si>
  <si>
    <t>Jeans Cintura pitillo, Pabilo</t>
  </si>
  <si>
    <t>Jeans Cintura recto, Smart Denim, doble pasador delantero.</t>
  </si>
  <si>
    <t>Jeans Eco cuero, bolsillo argentino, Cintura Flare</t>
  </si>
  <si>
    <t>Jeans Cintura Flare, pasador en V, 3 pinzas, bordado colsillo trasero</t>
  </si>
  <si>
    <t>Jeans cintura Flare, BMF Doble cierre (paleta) delantero</t>
  </si>
  <si>
    <t>Ok Diver</t>
  </si>
  <si>
    <t>Jean Cintura Wide Leg clásico Negro</t>
  </si>
  <si>
    <t xml:space="preserve">Jean Cintura Wide Leg clásico Marengo </t>
  </si>
  <si>
    <t>Jens Cintura Flare, con luneta bolsillo izquierdo delantero, Push up</t>
  </si>
  <si>
    <t>Jeans pasador en V, Push in/Push up, Bio Oscuro</t>
  </si>
  <si>
    <t>Medio Flare, Pretina Manual cesgo, BMF</t>
  </si>
  <si>
    <t>Jeans cintura Flare, aplicación eco cuero, Bio Oscuro</t>
  </si>
  <si>
    <t>Jeans cintura Flare, Dibujo Laser, aplicación eco cuero, Bio Oscuro</t>
  </si>
  <si>
    <t>Jeans Flare cinturon, BM repaso costura</t>
  </si>
  <si>
    <t>Ok Drive</t>
  </si>
  <si>
    <t>Catalogo Ok</t>
  </si>
  <si>
    <t>Cintura Oxford, corte delantero cargado con Pespunte</t>
  </si>
  <si>
    <t>Jeans Tapetas, Medio Oxford, bolsillo trasero con tapetas</t>
  </si>
  <si>
    <t>Cintura Tobillero, Bio Foc, repaso costura</t>
  </si>
  <si>
    <t>Jeans Wide Leg, doble pasador trasero</t>
  </si>
  <si>
    <t>Jeans Cintura Flare, relojero en pretina, pasador trasero en V, CAFÉ</t>
  </si>
  <si>
    <t>Jeans Cintura Flare, relojero en pretina, pasador trasero en V, CAFÉ PRINT (Láser)</t>
  </si>
  <si>
    <t>Jeans Cintura Flare, relojero en pretina, pasador trasero en V, BEIGE</t>
  </si>
  <si>
    <t>Jeans Cintura Flare, relojero en pretina, pasador trasero en V, ÓCRE</t>
  </si>
  <si>
    <t>Jeans Cintura Flare, relojero en pretina, pasador trasero en V, VERDE OLIVA</t>
  </si>
  <si>
    <t>Jeans Cintura Flare, relojero en pretina, pasador trasero en V, BURDEO</t>
  </si>
  <si>
    <t>Jeans Cintura Pitillo colores, Clásico, pasador alto CAFÉ</t>
  </si>
  <si>
    <t>Jeans Cintura Pitillo colores, Clásico, pasador alto BEIGE</t>
  </si>
  <si>
    <t>Jeans Cintura Pitillo colores, Clásico, pasador alto ÓCRE</t>
  </si>
  <si>
    <t>Jeans Cintura Pitillo colores, Clásico, pasador alto VERDE OLIVA</t>
  </si>
  <si>
    <t>Jeans Cintura Pitillo colores, Clásico, pasador alto BURDEO</t>
  </si>
  <si>
    <t>Jeans Clásico cintura Recto, bolsillo ovalado, CAFÉ</t>
  </si>
  <si>
    <t>Jeans Clásico cintura Recto, bolsillo ovalado, BEIGE</t>
  </si>
  <si>
    <t>Jeans Clásico cintura Recto, bolsillo ovalado, ÓCRE</t>
  </si>
  <si>
    <t>Jeans Clásico cintura Recto, bolsillo ovalado, VERDE OLIVA</t>
  </si>
  <si>
    <t>Jeans Clásico cintura Recto, bolsillo ovalado, BURDEO</t>
  </si>
  <si>
    <t>Jeans Cintura Recto, Gravillado, Largo</t>
  </si>
  <si>
    <t>Jeans Cintura Recto, Bio Oscuro Largo</t>
  </si>
  <si>
    <t>Jeans Cintura Croop,Gravillado Corto</t>
  </si>
  <si>
    <t>Croop</t>
  </si>
  <si>
    <t>Jeans Cintura Croop, Bio Oscuro, Corto</t>
  </si>
  <si>
    <t>Jeans Cintura Palazzo, NEGRO estrella</t>
  </si>
  <si>
    <t>Jeans Cintura Palazzo, gris Acero</t>
  </si>
  <si>
    <t>EX 4249</t>
  </si>
  <si>
    <t>Jeans Gris focalizado</t>
  </si>
  <si>
    <t>EX 4003</t>
  </si>
  <si>
    <t>Jeans Cintura Recto, clásico, GRIS FOCALIZADO</t>
  </si>
  <si>
    <t>EX 4248</t>
  </si>
  <si>
    <t>Jeans Cintura Recto, clásico MARENGO</t>
  </si>
  <si>
    <t>Jeans relojero, vista de bolsillo BM rep costura</t>
  </si>
  <si>
    <t xml:space="preserve">BIO MEDIO FOCALIZADO LASER  TRENSADO EN PRETINA </t>
  </si>
  <si>
    <t xml:space="preserve">FLARE </t>
  </si>
  <si>
    <t>BIO OSCURO CIERRE EN VISTA Y APLICACION BOLSILLOS TRASEROS PINZA COSTADO</t>
  </si>
  <si>
    <t xml:space="preserve"> CELESTE FOCALIZADO BOLSILLOS DELANTEROS PARCHES OJETILLOS EN PRETINA</t>
  </si>
  <si>
    <t xml:space="preserve">BIO MEDIO CON PARCHES EN DELANTEROS </t>
  </si>
  <si>
    <t>BALOON</t>
  </si>
  <si>
    <t>BIO MEDIO CORTE EN BOLSILLO TRASERO CORTE EN   M  PUSH IN PUSH UP</t>
  </si>
  <si>
    <t>GRIS FOCALIZADO   SMARTH  DENIM  RELOJERO EN PRETINA</t>
  </si>
  <si>
    <t>4414-01</t>
  </si>
  <si>
    <t>NEGRO   FOCALIZADO   SMARTH  DENIM  RELOJERO EN PRETINA</t>
  </si>
  <si>
    <t>NEGRO GRAVILLADO  CON PASADORES EN RELOJEROS</t>
  </si>
  <si>
    <t>CIERREAZUL INDUSTRIAL BOLSILLOS DELANTEROS CON TAPETA  BOTON SIN PRETINA</t>
  </si>
  <si>
    <t xml:space="preserve">BIO MEDIO FOCALIZADO LASER PRETINA DESFLECADA </t>
  </si>
  <si>
    <t>4419-00</t>
  </si>
  <si>
    <t>BALLON NEGRO</t>
  </si>
  <si>
    <t>4419-01</t>
  </si>
  <si>
    <t>BALLON GRIS</t>
  </si>
  <si>
    <t>NEGRO FOCALIZADO TELA CONFORD REBECA Y BOLS. DELANTEROS BOLSILLOS PARCHES AJUSTE CINTURA</t>
  </si>
  <si>
    <t xml:space="preserve">BEIGE BOLSILLO RELOJERO 3  PINZAS </t>
  </si>
  <si>
    <t>4422-00</t>
  </si>
  <si>
    <t xml:space="preserve">BLANCO BOLSILLO CARPINTERO CON CINTURON </t>
  </si>
  <si>
    <t>CROOP</t>
  </si>
  <si>
    <t>4422-04</t>
  </si>
  <si>
    <t xml:space="preserve">CHOCOLATE  BOLSILLO CARPINTERO CON CINTURON </t>
  </si>
  <si>
    <t>4422-06</t>
  </si>
  <si>
    <t xml:space="preserve">BEIGE   BOLSILLO CARPINTERO CON CINTURON </t>
  </si>
  <si>
    <t>4422-38</t>
  </si>
  <si>
    <t xml:space="preserve">OSTRA   BOLSILLO CARPINTERO CON CINTURON </t>
  </si>
  <si>
    <t>RECTO/ cargo</t>
  </si>
  <si>
    <t>GRIS FOCALIZADO CIERRE EN VISTA PASADORES DELANTEROS EN  X  PUSH IN PUSH UP</t>
  </si>
  <si>
    <t xml:space="preserve">BIO MEDIO FOCALIZADO LASER        PUSH IN PUSH  UP </t>
  </si>
  <si>
    <t>4431-00</t>
  </si>
  <si>
    <t>BIO OSCURO  BOLSILLO RELOJEROS DE TOPE CORTE EN    V  PRETINA</t>
  </si>
  <si>
    <t>4431-01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</si>
  <si>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</si>
  <si>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</si>
  <si>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</si>
  <si>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EX 4302</t>
  </si>
  <si>
    <t>BIO MEDIO  FOCALIZADO  RELOJERO TAPETA BOTON PASADORES ANCHOS CORTES EN BOLS TRASEROS</t>
  </si>
  <si>
    <t xml:space="preserve">BIO MEDIO PASADOR DELANTERO EN  V BOLSILLO TRASERO OVALADO </t>
  </si>
  <si>
    <t>BIO OSCURO 3 COSTURAS EN VISTA Y ALTURA BOLSILLO OVALADO</t>
  </si>
  <si>
    <t>4439-00</t>
  </si>
  <si>
    <t>GRAVILLADO CELESTE  CON 3 COSTURAS BOLS. RELOJERO CON PESTAÑA</t>
  </si>
  <si>
    <t xml:space="preserve"> BIO MEDIO FOCAL. TENUE 2 RELOJEROS PINZA COSTADO DIBUJO  M</t>
  </si>
  <si>
    <t xml:space="preserve">NEGRO GRAVILADO CON PRETINA CON CORTE RELOJERO OJAL 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</si>
  <si>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</si>
  <si>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</si>
  <si>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</si>
  <si>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</si>
  <si>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 xml:space="preserve">BIO MEDIO PRETINA  MANUAL SESGO  RELOJERO BOLSILLOS TRASEROS CON CORTES  </t>
  </si>
  <si>
    <t>4448-90</t>
  </si>
  <si>
    <t>BIO MEDIO PRETINA  MANUAL SESGO  RELOJERO BOLSILLOS TRASEROS CON CORTES   GLITTER</t>
  </si>
  <si>
    <t xml:space="preserve">BIO CELESTE PASADORES DELANTEROS PEGADOS EN PRETINA </t>
  </si>
  <si>
    <t xml:space="preserve">RECTO </t>
  </si>
  <si>
    <t>BIO MEDIO LASER LUNETA EN VISTA BOLS RELOJERO BOLS TRASEROS  ESTRAS</t>
  </si>
  <si>
    <t>BIO MEDIO RELOJERO NORMAL 1 PINZA  TRASERA PASADOR  TRASERO EN  V</t>
  </si>
  <si>
    <t>4457-00</t>
  </si>
  <si>
    <t>BLANCO PRETINA TRENSADA</t>
  </si>
  <si>
    <t>4457-38</t>
  </si>
  <si>
    <t xml:space="preserve">OSTRA  PRETINA TRENSADA </t>
  </si>
  <si>
    <t>4457-06</t>
  </si>
  <si>
    <t>BEIGE  PRETINATRENSADA</t>
  </si>
  <si>
    <t>4457-04</t>
  </si>
  <si>
    <t>CHOCOLATE PRETINA TRENSADA</t>
  </si>
  <si>
    <t>BIO OSCURO  VISTAS CON CORTES EN RELOJERO</t>
  </si>
  <si>
    <t>OXFORD CROOP</t>
  </si>
  <si>
    <t xml:space="preserve">BIO MEDIO FOCALIZADO LASER RELOJEROS  CON CORTES  ESPEJOS 3 PINZAS </t>
  </si>
  <si>
    <t>BIO CELESTE RELOJERO OJAL PINZAS EN VISTA BOLSILLOS OVALADOS TRASEROS</t>
  </si>
  <si>
    <t>PITI RECTO</t>
  </si>
  <si>
    <t xml:space="preserve">BIO MEDIO FOCALIZADO LASER RELOJERO LARGO CORTES EN BOLS. TRASEROS </t>
  </si>
  <si>
    <t xml:space="preserve">CINTUTA </t>
  </si>
  <si>
    <t xml:space="preserve">BIO MEDIO CON PASADOREE EN VIUSTA Y BOLSILLOS TRASERO </t>
  </si>
  <si>
    <t>CASACA</t>
  </si>
  <si>
    <t>NAPOLEON</t>
  </si>
  <si>
    <t>BIO MEDIO FOCALIZADO LASER BOLSILLOS TRASERO CORTES EN BOLS. TRASERO</t>
  </si>
  <si>
    <t>4472-00</t>
  </si>
  <si>
    <t>GRAVILLADO BIO MEDIO RELOJERO DE TOPE Y RELOJERO NORMAL BOLSILLO TRASERO CORTE  M</t>
  </si>
  <si>
    <t>4472-01</t>
  </si>
  <si>
    <t>GRAVILLADO CELESTE RELOJERO DE TOPE Y RELOJERO NORMAL BOLSILLO TRASERO CORTE  M</t>
  </si>
  <si>
    <t>EX  4310</t>
  </si>
  <si>
    <t>BIO MEDIO FOCALIZADO LASER ATRAQUE EN VISTA  DELANTERA</t>
  </si>
  <si>
    <t>WIDELEG CROOP</t>
  </si>
  <si>
    <t>CINURA</t>
  </si>
  <si>
    <t xml:space="preserve"> FULL MODA LASER RAYAS VERTICALES BAÑO DE COLOR</t>
  </si>
  <si>
    <t>LASER LUNARES</t>
  </si>
  <si>
    <t>4492-00</t>
  </si>
  <si>
    <t>BIO CELESTE ELASTICO EN LA PRETINA TRASERA</t>
  </si>
  <si>
    <t>4492-90</t>
  </si>
  <si>
    <t>GLITTER  BIO CELESTE ELASTICO EN LA PRETINA TRASERA</t>
  </si>
  <si>
    <t>4494-04</t>
  </si>
  <si>
    <t>4494-06</t>
  </si>
  <si>
    <t>4494-09</t>
  </si>
  <si>
    <t>4494-24</t>
  </si>
  <si>
    <t>4495-00</t>
  </si>
  <si>
    <t>BLANCO  PRETINA DESFLECADA Y BASTA</t>
  </si>
  <si>
    <t>4495-04</t>
  </si>
  <si>
    <t xml:space="preserve">CHOLATE </t>
  </si>
  <si>
    <t>4495-06</t>
  </si>
  <si>
    <t>BEIGE</t>
  </si>
  <si>
    <t>4495-09</t>
  </si>
  <si>
    <t>VERDE PISTACHO</t>
  </si>
  <si>
    <t>4495-24</t>
  </si>
  <si>
    <t>ROJO</t>
  </si>
  <si>
    <t>4495-38</t>
  </si>
  <si>
    <t>OSTRA</t>
  </si>
  <si>
    <t>TRANSPORTE</t>
  </si>
  <si>
    <t>RAZON SOCIAL</t>
  </si>
  <si>
    <t>GIRO</t>
  </si>
  <si>
    <t>DIRECCION</t>
  </si>
  <si>
    <t>NOMBRE TIENDA</t>
  </si>
  <si>
    <t>CONDICIONES DE PAGO</t>
  </si>
  <si>
    <t>RUT</t>
  </si>
  <si>
    <t>FECHA</t>
  </si>
  <si>
    <t>COMUNA</t>
  </si>
  <si>
    <t>CIUDAD</t>
  </si>
  <si>
    <t xml:space="preserve">MANUFACTURAS e IMPORTACIONES </t>
  </si>
  <si>
    <t>TELEFONO</t>
  </si>
  <si>
    <t>CELULAR</t>
  </si>
  <si>
    <t>TITANIUM CHILE SPA</t>
  </si>
  <si>
    <t>ATENCION</t>
  </si>
  <si>
    <t>E-MAIL</t>
  </si>
  <si>
    <t>NOTA DE PEDIDO</t>
  </si>
  <si>
    <t>VENDEDOR</t>
  </si>
  <si>
    <t>ORDEN DE COMPRA</t>
  </si>
  <si>
    <t>43  ALTO INVIERNO</t>
  </si>
  <si>
    <t>Av. Peru 710, Recoleta-Santiago</t>
  </si>
  <si>
    <t>TEMPORADA</t>
  </si>
  <si>
    <t>OTOÑO INVIERNO 2026</t>
  </si>
  <si>
    <t>www.mohicano.cl</t>
  </si>
  <si>
    <t>VENTA SUGERIDA</t>
  </si>
  <si>
    <t>prendas</t>
  </si>
  <si>
    <t>DESCUENTO</t>
  </si>
  <si>
    <t>COLE. ANTERIOR</t>
  </si>
  <si>
    <t>PEDIDO REALIZADO</t>
  </si>
  <si>
    <t>DESPACHO</t>
  </si>
  <si>
    <t>SALDO</t>
  </si>
  <si>
    <t>VALOR</t>
  </si>
  <si>
    <t>BARRA</t>
  </si>
  <si>
    <t>CÓDIGO</t>
  </si>
  <si>
    <t>ARTÍCULO</t>
  </si>
  <si>
    <t>CORTE</t>
  </si>
  <si>
    <t>S</t>
  </si>
  <si>
    <t>M</t>
  </si>
  <si>
    <t>L</t>
  </si>
  <si>
    <t>PRENDAS</t>
  </si>
  <si>
    <t>TOTAL</t>
  </si>
  <si>
    <t>CANTIDAD TOTAL DE ARTICULOS</t>
  </si>
  <si>
    <t>TOTAL NETO</t>
  </si>
  <si>
    <t>OBSERVACIONES</t>
  </si>
  <si>
    <t>Descuento especial:</t>
  </si>
  <si>
    <t>NETO</t>
  </si>
  <si>
    <t xml:space="preserve">Autorizo para comunicar a terceros la mora o simple retardo de la obligación, en la base de datos SICOM </t>
  </si>
  <si>
    <t>IVA 19%</t>
  </si>
  <si>
    <t xml:space="preserve">(Sistema consolidado de morosidad y protesto) de DICOM S.A. o en cualquier otra base de datos de morosidades y protestos existentes </t>
  </si>
  <si>
    <t>COLOR</t>
  </si>
  <si>
    <t>WIDE</t>
  </si>
  <si>
    <t>CLARO</t>
  </si>
  <si>
    <t>negro</t>
  </si>
  <si>
    <t>GRIS</t>
  </si>
  <si>
    <t>GLITEE</t>
  </si>
  <si>
    <t/>
  </si>
  <si>
    <t>OSCURO</t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</si>
  <si>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</si>
  <si>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</si>
  <si>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</si>
  <si>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</si>
  <si>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</si>
  <si>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</si>
  <si>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</si>
  <si>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</si>
  <si>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</si>
  <si>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Valor</t>
  </si>
  <si>
    <t>4233/ colores</t>
  </si>
  <si>
    <t>Descargar</t>
  </si>
  <si>
    <t>EX 4234/ 5 colores</t>
  </si>
  <si>
    <t>En escritorio</t>
  </si>
  <si>
    <t>Jeans Cintura Recto, clásico</t>
  </si>
  <si>
    <t>Jeans Clásico cintura Recto, bolsillo ovalado</t>
  </si>
  <si>
    <t>RUT2</t>
  </si>
  <si>
    <t>Razon Social</t>
  </si>
  <si>
    <t>Ciudad</t>
  </si>
  <si>
    <t>Direccion</t>
  </si>
  <si>
    <t>Fono</t>
  </si>
  <si>
    <t>Vendedor</t>
  </si>
  <si>
    <t>Correo</t>
  </si>
  <si>
    <t>WWW</t>
  </si>
  <si>
    <t>Contacto</t>
  </si>
  <si>
    <t>Cargo</t>
  </si>
  <si>
    <t>GRUPO</t>
  </si>
  <si>
    <t>Credito</t>
  </si>
  <si>
    <t>Transporte</t>
  </si>
  <si>
    <t>BLOQUEADO</t>
  </si>
  <si>
    <t>Dcto</t>
  </si>
  <si>
    <t>CONDICION DE PAGO</t>
  </si>
  <si>
    <t>NOMBRE DE TIENDA</t>
  </si>
  <si>
    <t>Observaciones</t>
  </si>
  <si>
    <t>Ped_anterior</t>
  </si>
  <si>
    <t>Cantidad</t>
  </si>
  <si>
    <t>Despacho</t>
  </si>
  <si>
    <t>Saldo</t>
  </si>
  <si>
    <t>% Despacho</t>
  </si>
  <si>
    <t>Meta Cole-38</t>
  </si>
  <si>
    <t>4.878.758-4</t>
  </si>
  <si>
    <t>ROBERTO KOBUS PEMSO</t>
  </si>
  <si>
    <t xml:space="preserve">ANCUD </t>
  </si>
  <si>
    <t>PUDETO 143-145</t>
  </si>
  <si>
    <t>PATRICIO CUEVAS</t>
  </si>
  <si>
    <t xml:space="preserve">tiendasmachos@gmail.com </t>
  </si>
  <si>
    <t xml:space="preserve">MACHOS BOUTIQUE@SURNET.CL  </t>
  </si>
  <si>
    <t xml:space="preserve">JENIFER PAGOS </t>
  </si>
  <si>
    <t>VARMONTT</t>
  </si>
  <si>
    <t>CREDITO 30 Y 60</t>
  </si>
  <si>
    <t>GRANDES TIENDAS</t>
  </si>
  <si>
    <t>MACHOS</t>
  </si>
  <si>
    <t>ANCUD</t>
  </si>
  <si>
    <t xml:space="preserve"> VARMONTT                                                                                 </t>
  </si>
  <si>
    <t>5.001.562-9</t>
  </si>
  <si>
    <t>INES VARGAS PINO</t>
  </si>
  <si>
    <t xml:space="preserve">COPIAPO  </t>
  </si>
  <si>
    <t>ATACAMA 461-A</t>
  </si>
  <si>
    <t>52-213939</t>
  </si>
  <si>
    <t>HECTOR CAFFIERO</t>
  </si>
  <si>
    <t>INES VARGAS</t>
  </si>
  <si>
    <t>SER VALL</t>
  </si>
  <si>
    <t>TRANSF. CONTRA FACTURA</t>
  </si>
  <si>
    <t>8-8637797</t>
  </si>
  <si>
    <t>TIENDA DE VESTIR</t>
  </si>
  <si>
    <t>BOUTIQUE GEMINIS</t>
  </si>
  <si>
    <t>COPIAPO</t>
  </si>
  <si>
    <t>5.384.900-8</t>
  </si>
  <si>
    <t>ELIANA RIQUELME R.</t>
  </si>
  <si>
    <t>FUTRONO</t>
  </si>
  <si>
    <t>BALMACEDA 249</t>
  </si>
  <si>
    <t>ELIANA RIQUELME</t>
  </si>
  <si>
    <t>TUR BUS</t>
  </si>
  <si>
    <t>VENTAS</t>
  </si>
  <si>
    <t>COSAS BOUTIQUE</t>
  </si>
  <si>
    <t>5.913.365-9</t>
  </si>
  <si>
    <t>ANA MARIA MANFREDI CARRASCO</t>
  </si>
  <si>
    <t>OVALLE</t>
  </si>
  <si>
    <t>VICUÑA MACKENNA 287</t>
  </si>
  <si>
    <t xml:space="preserve">053-622626 </t>
  </si>
  <si>
    <t xml:space="preserve">manfredi@hotmail.com </t>
  </si>
  <si>
    <t xml:space="preserve">DANIELA O ANA MARIA </t>
  </si>
  <si>
    <t>DUEÑO</t>
  </si>
  <si>
    <t xml:space="preserve">CHILE LINDO </t>
  </si>
  <si>
    <t xml:space="preserve">CREDITO 30 Y 60 </t>
  </si>
  <si>
    <t xml:space="preserve">VENTAS AL POR MENOR </t>
  </si>
  <si>
    <t>BOUTIQUE PARA TI</t>
  </si>
  <si>
    <t>6.031.123-4</t>
  </si>
  <si>
    <t>FABIOLA BENAVENTE MEZA</t>
  </si>
  <si>
    <t>PARRAL</t>
  </si>
  <si>
    <t>ANIBAL PINTO 590</t>
  </si>
  <si>
    <t>CARLOS CUEVAS</t>
  </si>
  <si>
    <t>tiendaelegance@gmail.com</t>
  </si>
  <si>
    <t>FABIOLA BENAVENTE</t>
  </si>
  <si>
    <t>POP DESPACHADO 11/12</t>
  </si>
  <si>
    <t>VILLA PRAT</t>
  </si>
  <si>
    <t>CONTRAFACTURA</t>
  </si>
  <si>
    <t>BOUTIQUE</t>
  </si>
  <si>
    <t>ELEGANTE BOUTIQUE</t>
  </si>
  <si>
    <t>6.331.910-4</t>
  </si>
  <si>
    <t>LUIS SOUMASTRE RAMIREZ</t>
  </si>
  <si>
    <t xml:space="preserve">ARICA </t>
  </si>
  <si>
    <t>21 DE MAYO 454</t>
  </si>
  <si>
    <t>058-2232959</t>
  </si>
  <si>
    <t>lfsr24@hotmail.com</t>
  </si>
  <si>
    <t xml:space="preserve">gloria tapia  </t>
  </si>
  <si>
    <t>CHACON</t>
  </si>
  <si>
    <t>ARICA</t>
  </si>
  <si>
    <t>6.589.904-3</t>
  </si>
  <si>
    <t>ANITA BERTA GADICKE</t>
  </si>
  <si>
    <t>OSORNO</t>
  </si>
  <si>
    <t>OHIGGINS 534</t>
  </si>
  <si>
    <t xml:space="preserve">anitagadicke@gmail.com  </t>
  </si>
  <si>
    <t xml:space="preserve">ANITA GADICKE </t>
  </si>
  <si>
    <t>CIDHER</t>
  </si>
  <si>
    <t>ALBANY SPORT</t>
  </si>
  <si>
    <t>6.775.324-0</t>
  </si>
  <si>
    <t>MARIA DE LOS ANGELES DIAZ BELLIDO</t>
  </si>
  <si>
    <t xml:space="preserve">VILLA ALEMANA  </t>
  </si>
  <si>
    <t>BUENOS AIRE 845</t>
  </si>
  <si>
    <t xml:space="preserve">32-2951011 </t>
  </si>
  <si>
    <t xml:space="preserve">balaustros2@hotmail.com </t>
  </si>
  <si>
    <t>BALASUTROSVILLAALEMANA@GMAIL.C</t>
  </si>
  <si>
    <t>MARIA DE LOS ANGELES</t>
  </si>
  <si>
    <t>ABC</t>
  </si>
  <si>
    <t>BALAUSTROS BOUTIQUE</t>
  </si>
  <si>
    <t>VILLA ALEMANA</t>
  </si>
  <si>
    <t>6.799.967-3</t>
  </si>
  <si>
    <t>ANA MARIA SALVATIERRA TAPIA</t>
  </si>
  <si>
    <t xml:space="preserve">CABILDO  </t>
  </si>
  <si>
    <t>HUMERES 727</t>
  </si>
  <si>
    <t xml:space="preserve">anisalta@hotmail.com </t>
  </si>
  <si>
    <t>ANA MARIA SALVATIERR</t>
  </si>
  <si>
    <t>BOUTIQUE ANITA</t>
  </si>
  <si>
    <t>CABILDO</t>
  </si>
  <si>
    <t>76.965.431-3</t>
  </si>
  <si>
    <t>OPALO VESTUARIO</t>
  </si>
  <si>
    <t xml:space="preserve">CONCEPCION  </t>
  </si>
  <si>
    <t>BARROS ARANA 815 LOCAL 14</t>
  </si>
  <si>
    <t xml:space="preserve">mayobenites@hotmail.com </t>
  </si>
  <si>
    <t xml:space="preserve">HILIA CONCHA  </t>
  </si>
  <si>
    <t>DUEÑA</t>
  </si>
  <si>
    <t>CHEVALIER</t>
  </si>
  <si>
    <t>CHEQUE 30 DIAS</t>
  </si>
  <si>
    <t>OPALO BOUTIQUE</t>
  </si>
  <si>
    <t>CONCEPCION</t>
  </si>
  <si>
    <t xml:space="preserve">HIJA MARJORIE BENITEZ, TRANSPORTE CHEVALIER 13/11                                                   </t>
  </si>
  <si>
    <t>7.096.837-1</t>
  </si>
  <si>
    <t>GLORIA CECILIA OLIVARES TORRES</t>
  </si>
  <si>
    <t xml:space="preserve">CHAÑARAL </t>
  </si>
  <si>
    <t>MERINO JARPA 590</t>
  </si>
  <si>
    <t>09-98175762</t>
  </si>
  <si>
    <t xml:space="preserve">g.oltorres91@gmail.com </t>
  </si>
  <si>
    <t xml:space="preserve">DANIEL CEA COMPRA Y </t>
  </si>
  <si>
    <t>TIENDA</t>
  </si>
  <si>
    <t>EVEN EZER</t>
  </si>
  <si>
    <t>CHAÑARAL</t>
  </si>
  <si>
    <t>7.562.033-0</t>
  </si>
  <si>
    <t>PATRICIA BARRIA MANCILLA</t>
  </si>
  <si>
    <t>PORVENIR</t>
  </si>
  <si>
    <t>JOHN WILLIAMS 034</t>
  </si>
  <si>
    <t>061-2580171</t>
  </si>
  <si>
    <t>SERGIO KRAMARENCO</t>
  </si>
  <si>
    <t>patricia.barria@gmail.com</t>
  </si>
  <si>
    <t>PATRICIA BARRIA</t>
  </si>
  <si>
    <t>TRANSCARGO</t>
  </si>
  <si>
    <t>ROMY'S</t>
  </si>
  <si>
    <t xml:space="preserve">PORVENIR       </t>
  </si>
  <si>
    <t>7.634.829-4</t>
  </si>
  <si>
    <t>CARLOS MELLA ALVARADO</t>
  </si>
  <si>
    <t>CASTRO</t>
  </si>
  <si>
    <t>OHIGGINS 658</t>
  </si>
  <si>
    <t>065-2637291</t>
  </si>
  <si>
    <t>tiendamodafiel@gmail.com</t>
  </si>
  <si>
    <t>SEÑORA SOFIA</t>
  </si>
  <si>
    <t>CRUZ DEL SUR</t>
  </si>
  <si>
    <t xml:space="preserve">  9-5791119</t>
  </si>
  <si>
    <t>TIENDA Y PAQUETERIA</t>
  </si>
  <si>
    <t>MODA FIEL</t>
  </si>
  <si>
    <t>7.675.412-8</t>
  </si>
  <si>
    <t>IRMA ROMERO CASTRO</t>
  </si>
  <si>
    <t xml:space="preserve">CURANILAHUE </t>
  </si>
  <si>
    <t>ARTURO PRAT 1384</t>
  </si>
  <si>
    <t>041/2691287</t>
  </si>
  <si>
    <t>irmafranciscaromero@gmail.com</t>
  </si>
  <si>
    <t xml:space="preserve">IRMAFRANCISCAROMERO@GMAIL.COM </t>
  </si>
  <si>
    <t>IRMA ROMERO</t>
  </si>
  <si>
    <t>POP DESPACHADO 12/12</t>
  </si>
  <si>
    <t>FRANCISCA ROMERO BOUTIQUE</t>
  </si>
  <si>
    <t>CURANILAHUE</t>
  </si>
  <si>
    <t>8.259.662-3</t>
  </si>
  <si>
    <t>LUIGI ZANDONAI</t>
  </si>
  <si>
    <t>LA SERENA</t>
  </si>
  <si>
    <t>BALMACEDA 423</t>
  </si>
  <si>
    <t xml:space="preserve">51-215122  </t>
  </si>
  <si>
    <t xml:space="preserve">luigizandonay@hotmail.com  </t>
  </si>
  <si>
    <t>PIERO</t>
  </si>
  <si>
    <t>TIENDA LUIGI ZANDONAI</t>
  </si>
  <si>
    <t>8.611.778-9</t>
  </si>
  <si>
    <t>EMILIA PALMA VILCHES</t>
  </si>
  <si>
    <t xml:space="preserve">SAN JAVIER  </t>
  </si>
  <si>
    <t>ARTURO PRAT 2365</t>
  </si>
  <si>
    <t xml:space="preserve">73-2322862  </t>
  </si>
  <si>
    <t>mily.palma@gmail.com</t>
  </si>
  <si>
    <t>MILY PALMA</t>
  </si>
  <si>
    <t>GEMITA</t>
  </si>
  <si>
    <t>MILY</t>
  </si>
  <si>
    <t>SAN JAVIER</t>
  </si>
  <si>
    <t xml:space="preserve">SIN INFORMACION COMERCIAL 20/02                                                                     </t>
  </si>
  <si>
    <t>8.659.812-4</t>
  </si>
  <si>
    <t>RODRIGO EDUARDO SEÑOR LEDESMA</t>
  </si>
  <si>
    <t xml:space="preserve">TOME  </t>
  </si>
  <si>
    <t>NOGUEIRA 1137</t>
  </si>
  <si>
    <t xml:space="preserve">41-2651720  9860610 </t>
  </si>
  <si>
    <t>senrodtom@hotmail.com</t>
  </si>
  <si>
    <t>RODRIGO SEÑOR O MONI</t>
  </si>
  <si>
    <t>SOCIO</t>
  </si>
  <si>
    <t>VILLA PEAT</t>
  </si>
  <si>
    <t>VTAS DE PRENDAS DE VESTIR</t>
  </si>
  <si>
    <t>COMERCIAL LOGROÑO</t>
  </si>
  <si>
    <t>TOME</t>
  </si>
  <si>
    <t>8.673.204-1</t>
  </si>
  <si>
    <t>ROMAN JUAN CASTRO CAYO</t>
  </si>
  <si>
    <t>AVENIDA 18 DE SEPTIEMBRE 301 L</t>
  </si>
  <si>
    <t xml:space="preserve">58-2232504 </t>
  </si>
  <si>
    <t xml:space="preserve">castro.jade@hotmail.com </t>
  </si>
  <si>
    <t xml:space="preserve">ROMAN CASTRO  </t>
  </si>
  <si>
    <t>CREDITO 30 DIAS</t>
  </si>
  <si>
    <t>CALZADOS Y ROPAS DE VESTIR</t>
  </si>
  <si>
    <t>8.780.898-K</t>
  </si>
  <si>
    <t xml:space="preserve"> 8780898K</t>
  </si>
  <si>
    <t>PATRICIA HAFON DESMOND</t>
  </si>
  <si>
    <t>TOCOPILLA</t>
  </si>
  <si>
    <t>21 DE MAYO 1549</t>
  </si>
  <si>
    <t xml:space="preserve">55-812319  </t>
  </si>
  <si>
    <t xml:space="preserve">phafond@hotmail.com  </t>
  </si>
  <si>
    <t xml:space="preserve">PATRICIA HAFFON  </t>
  </si>
  <si>
    <t>CRISTINA PAGOS</t>
  </si>
  <si>
    <t>RAMOS CHOLELE</t>
  </si>
  <si>
    <t>8.837.310-3</t>
  </si>
  <si>
    <t>MARIA FRANCISCA IDE SCHMIDT</t>
  </si>
  <si>
    <t>LA REINA</t>
  </si>
  <si>
    <t>CARLOS SILVA VILDOSOLA 93</t>
  </si>
  <si>
    <t>2  27586405</t>
  </si>
  <si>
    <t xml:space="preserve">franciscaides@hotmail.com  </t>
  </si>
  <si>
    <t xml:space="preserve">SRA FRANCISCA </t>
  </si>
  <si>
    <t>BOUTIQUE FRANCISCA IDE</t>
  </si>
  <si>
    <t>8.875.220-1</t>
  </si>
  <si>
    <t>ANA MARIA CORTES</t>
  </si>
  <si>
    <t>HUASCO</t>
  </si>
  <si>
    <t>PEDRO AGUIRRE CERDA 316</t>
  </si>
  <si>
    <t xml:space="preserve">51-531308  </t>
  </si>
  <si>
    <t xml:space="preserve">cgonza77@hotmail.com </t>
  </si>
  <si>
    <t>CARLA GONZALEZ</t>
  </si>
  <si>
    <t>CREDITO30 DIAS</t>
  </si>
  <si>
    <t>TIENDA BAZAR Y PAQUETERIA</t>
  </si>
  <si>
    <t>ANA MARIA BOUTIQUE</t>
  </si>
  <si>
    <t>8.990.492-7</t>
  </si>
  <si>
    <t>LEYLA DEL CAMPO CASTRO</t>
  </si>
  <si>
    <t>PUERTO AYSEN</t>
  </si>
  <si>
    <t>ARTURO PRAT 735</t>
  </si>
  <si>
    <t xml:space="preserve">067-336824 </t>
  </si>
  <si>
    <t xml:space="preserve">oleyboutique@gmail.com  </t>
  </si>
  <si>
    <t xml:space="preserve">LEYLA DEL CAMPO  </t>
  </si>
  <si>
    <t xml:space="preserve">DUEÑA DE LA TIENDA  </t>
  </si>
  <si>
    <t>ATE</t>
  </si>
  <si>
    <t>TRANSF. CONTRA ENTREGA</t>
  </si>
  <si>
    <t>OLEY BOUTIQUE</t>
  </si>
  <si>
    <t>9.016.604-2</t>
  </si>
  <si>
    <t>RODRIGO SALDIVIA REMOLCOY</t>
  </si>
  <si>
    <t xml:space="preserve">QUELLON  </t>
  </si>
  <si>
    <t>LADRILLERO 075</t>
  </si>
  <si>
    <t>65/682901  65/683414</t>
  </si>
  <si>
    <t xml:space="preserve">lucre_esve1@hotmail.com </t>
  </si>
  <si>
    <t>LUCRESIA ESCANDON</t>
  </si>
  <si>
    <t>9.276.152-5</t>
  </si>
  <si>
    <t>CARMEN GLORIA GALLARDO VALERIO</t>
  </si>
  <si>
    <t xml:space="preserve">LA UNION </t>
  </si>
  <si>
    <t>COMERCIO 400</t>
  </si>
  <si>
    <t xml:space="preserve">64-425041  </t>
  </si>
  <si>
    <t>ricardo_lmunoz@yahoo.com</t>
  </si>
  <si>
    <t>RICARDO MUÑOZ</t>
  </si>
  <si>
    <t>PIBAS</t>
  </si>
  <si>
    <t>LA UNION</t>
  </si>
  <si>
    <t>9.305.252-8</t>
  </si>
  <si>
    <t>SABINA QUISPE PAIRO</t>
  </si>
  <si>
    <t>18 SEPTIEMBRE 301 LOCAL 4</t>
  </si>
  <si>
    <t xml:space="preserve">58-251824 LOCAL  </t>
  </si>
  <si>
    <t>constanzacontreras1310@gmail.com</t>
  </si>
  <si>
    <t xml:space="preserve">SABINA QUISPE </t>
  </si>
  <si>
    <t xml:space="preserve">MARLON ZAPATA </t>
  </si>
  <si>
    <t>SABY SPORT</t>
  </si>
  <si>
    <t>9.434.963-K</t>
  </si>
  <si>
    <t xml:space="preserve"> 9434963K</t>
  </si>
  <si>
    <t>ROSA EMILIA FUENTES MANCILLA</t>
  </si>
  <si>
    <t xml:space="preserve">QUEILEN  </t>
  </si>
  <si>
    <t>PEDRO AGUIRRE CERDA 183</t>
  </si>
  <si>
    <t xml:space="preserve">65/611209 611543 </t>
  </si>
  <si>
    <t xml:space="preserve">rosa.fuentes.23@gmail.com  </t>
  </si>
  <si>
    <t>ROSA FUENTES MANCILL</t>
  </si>
  <si>
    <t>VERONICA PAGOS</t>
  </si>
  <si>
    <t>TIENDA Y PAQUETERIA ROCIO</t>
  </si>
  <si>
    <t>QUEILEN</t>
  </si>
  <si>
    <t>9.684.131-0</t>
  </si>
  <si>
    <t>NEDY BASCUNAN MANSILLA</t>
  </si>
  <si>
    <t>COYHAIQUE</t>
  </si>
  <si>
    <t>ERRAZURIZ 261-A</t>
  </si>
  <si>
    <t xml:space="preserve">67-245741  </t>
  </si>
  <si>
    <t>nedybascunan@gmail.com</t>
  </si>
  <si>
    <t xml:space="preserve">NEDY </t>
  </si>
  <si>
    <t>TRANSMAX</t>
  </si>
  <si>
    <t xml:space="preserve">CONTADO   </t>
  </si>
  <si>
    <t>BOUTIQUE FRANCHESCA</t>
  </si>
  <si>
    <t>9.804.121-4</t>
  </si>
  <si>
    <t>MARIA CONCHA CACERES</t>
  </si>
  <si>
    <t>CONSTITUCION</t>
  </si>
  <si>
    <t>VIAL 380 A</t>
  </si>
  <si>
    <t xml:space="preserve">71-2673006  </t>
  </si>
  <si>
    <t xml:space="preserve">mariaconcha-63@hotmail.co  </t>
  </si>
  <si>
    <t>EMECOL</t>
  </si>
  <si>
    <t>TRIBAL</t>
  </si>
  <si>
    <t>10.026.410-2</t>
  </si>
  <si>
    <t>GLORIA CONTRERAS TORRES</t>
  </si>
  <si>
    <t>COCHRANNE</t>
  </si>
  <si>
    <t>RIO COLONIAL 560</t>
  </si>
  <si>
    <t xml:space="preserve">67-552734  </t>
  </si>
  <si>
    <t>gcontrerastorres@hotmail.cl</t>
  </si>
  <si>
    <t>GLORIA CONTRERAS</t>
  </si>
  <si>
    <t>VENTAS PRENDAS DE VESTIR</t>
  </si>
  <si>
    <t>COCHRANE</t>
  </si>
  <si>
    <t>DICOM OK AL 27/2</t>
  </si>
  <si>
    <t>10.270.508-4</t>
  </si>
  <si>
    <t>ELIANA VENTURELLI REGLA</t>
  </si>
  <si>
    <t>CAP. PASTENE</t>
  </si>
  <si>
    <t>PEDRO MONTT 640</t>
  </si>
  <si>
    <t>elianaventurelliregla@hotmail.</t>
  </si>
  <si>
    <t>ELIANA VENTURELLI</t>
  </si>
  <si>
    <t>JC</t>
  </si>
  <si>
    <t>TRAIGUEN</t>
  </si>
  <si>
    <t>SIN INFORMACION COMERCIAL 20/02</t>
  </si>
  <si>
    <t>10.529.776-9</t>
  </si>
  <si>
    <t>OLGA OLIVIA POBLETE CONCHA</t>
  </si>
  <si>
    <t>LAGOS 957</t>
  </si>
  <si>
    <t>OLGAPOBLETECONCHA@GMAIL.COM</t>
  </si>
  <si>
    <t>OLGA POBLETE</t>
  </si>
  <si>
    <t>BUSES JC</t>
  </si>
  <si>
    <t>TRANSF. CONTRAFACTURA</t>
  </si>
  <si>
    <t>FENIX BOUTIQUE</t>
  </si>
  <si>
    <t>10.777.684-2</t>
  </si>
  <si>
    <t>KETTY ROJAS RAMIREZ</t>
  </si>
  <si>
    <t>VILLA DIEGO PORTALES C/11</t>
  </si>
  <si>
    <t xml:space="preserve">052/241236 </t>
  </si>
  <si>
    <t xml:space="preserve">krojasramirez@gmail.com </t>
  </si>
  <si>
    <t>ENVIAS EXPRESS</t>
  </si>
  <si>
    <t>10.879.819-K</t>
  </si>
  <si>
    <t>10879819K</t>
  </si>
  <si>
    <t>CELIA VASQUEZ BARRERA</t>
  </si>
  <si>
    <t xml:space="preserve">VILLARRICA  </t>
  </si>
  <si>
    <t>PEDRO DE VALDIVIA 650 LOCAL 25</t>
  </si>
  <si>
    <t xml:space="preserve">045-2412431 </t>
  </si>
  <si>
    <t xml:space="preserve">prodigos@live.cl  </t>
  </si>
  <si>
    <t xml:space="preserve">CELIA VASQUEZ </t>
  </si>
  <si>
    <t>CONTADO</t>
  </si>
  <si>
    <t>PRODIGOS</t>
  </si>
  <si>
    <t>VILLARRICA</t>
  </si>
  <si>
    <t>NO CUMPLE PERFIL PARA MOHICANO</t>
  </si>
  <si>
    <t>11.354.049-4</t>
  </si>
  <si>
    <t>PATRICIA MENA SANDOVAL</t>
  </si>
  <si>
    <t xml:space="preserve">TRAIGUEN </t>
  </si>
  <si>
    <t>AV SAAVEDRA 460</t>
  </si>
  <si>
    <t xml:space="preserve">045-861873 </t>
  </si>
  <si>
    <t>patcemesa@hotmail.com</t>
  </si>
  <si>
    <t>PATRICIA MENA</t>
  </si>
  <si>
    <t>PATY MENA BOUTIQUE</t>
  </si>
  <si>
    <t>11.407.997-9</t>
  </si>
  <si>
    <t>DANITZA OSSES AEDO</t>
  </si>
  <si>
    <t>CALLE SANTA  CRUZ Nº 807</t>
  </si>
  <si>
    <t xml:space="preserve">45-861192  </t>
  </si>
  <si>
    <t>danitzaosses@hotmail.com</t>
  </si>
  <si>
    <t xml:space="preserve">DANITZA OSSES </t>
  </si>
  <si>
    <t xml:space="preserve">TRANSPORTES JAC , SIN INFORMES COMERCIALES 20/02                                                    </t>
  </si>
  <si>
    <t>11.564.359-2</t>
  </si>
  <si>
    <t>BELLA FUENTES PINCHEIRA</t>
  </si>
  <si>
    <t xml:space="preserve">LINARES  </t>
  </si>
  <si>
    <t>CHACABUCO 435 LOCAL 03</t>
  </si>
  <si>
    <t xml:space="preserve">73-2219931  </t>
  </si>
  <si>
    <t>befupi@gmail.com</t>
  </si>
  <si>
    <t xml:space="preserve">BELLA FUENTES </t>
  </si>
  <si>
    <t>BOUTIQUE BAZAR Y PAQUETERIA</t>
  </si>
  <si>
    <t xml:space="preserve">           D JAVI</t>
  </si>
  <si>
    <t>LINARES</t>
  </si>
  <si>
    <t xml:space="preserve">CANCELA CHEQUE 30 DIAS CON 10% DE DESCUENTO, SU ENCARGADA DE LOCAL ES MINERVA                       </t>
  </si>
  <si>
    <t>11.684.129-0</t>
  </si>
  <si>
    <t>HUGO MONTERO FIGUEROA</t>
  </si>
  <si>
    <t xml:space="preserve">LOS ANGELES </t>
  </si>
  <si>
    <t>VALDIVIA 487 LOCAL L</t>
  </si>
  <si>
    <t>hugomonterof@yahoo.es</t>
  </si>
  <si>
    <t xml:space="preserve">HUGO MONTERO  </t>
  </si>
  <si>
    <t>30 DIAS</t>
  </si>
  <si>
    <t xml:space="preserve">09-3447832 </t>
  </si>
  <si>
    <t>TIENDAS</t>
  </si>
  <si>
    <t>HECHIZOS</t>
  </si>
  <si>
    <t>LOS ANGELES</t>
  </si>
  <si>
    <t xml:space="preserve">TRANSPORTE CHEVALIER                                                                                </t>
  </si>
  <si>
    <t>12.003.736-6</t>
  </si>
  <si>
    <t>ARMANDO BARRIA LEGUE</t>
  </si>
  <si>
    <t xml:space="preserve">PUERTO NATALES </t>
  </si>
  <si>
    <t>MANUEL BULNES 731 LOCAL A</t>
  </si>
  <si>
    <t xml:space="preserve">061-413977 </t>
  </si>
  <si>
    <t xml:space="preserve">tiendarmando@gmial.com  </t>
  </si>
  <si>
    <t>ARMANDO BARRIA</t>
  </si>
  <si>
    <t>ESPACIO JEANS</t>
  </si>
  <si>
    <t>PUERTO NATALES</t>
  </si>
  <si>
    <t>12.323.239-9</t>
  </si>
  <si>
    <t>MABEL ALEJANDRA MUNOZ MOLINER</t>
  </si>
  <si>
    <t xml:space="preserve">ANGOL </t>
  </si>
  <si>
    <t>CAUPOLICAN 341 LOCAL 1</t>
  </si>
  <si>
    <t xml:space="preserve">45-717973  </t>
  </si>
  <si>
    <t xml:space="preserve">comercialpaucoma@gmail.co  </t>
  </si>
  <si>
    <t>MABEL MUÑOZ</t>
  </si>
  <si>
    <t xml:space="preserve">POP RECHAZADO 12/12 </t>
  </si>
  <si>
    <t>BOUTIQUE PAULA</t>
  </si>
  <si>
    <t>ANGOL</t>
  </si>
  <si>
    <t>12.495.320-0</t>
  </si>
  <si>
    <t>RODRIGO BARRENA ARAVENA</t>
  </si>
  <si>
    <t>MELIPILLA</t>
  </si>
  <si>
    <t>SERRANO 395 LOCAL 211</t>
  </si>
  <si>
    <t>RICHARD CUEVAS</t>
  </si>
  <si>
    <t>PROPIO</t>
  </si>
  <si>
    <t>BOUTIQUE CANELA Y MIEL</t>
  </si>
  <si>
    <t>12.838.491-K</t>
  </si>
  <si>
    <t>12838491K</t>
  </si>
  <si>
    <t xml:space="preserve">JESSICA ARAYA CEPEDA </t>
  </si>
  <si>
    <t xml:space="preserve">ANTOFAGASTA </t>
  </si>
  <si>
    <t>MANUEL RODRIGUEZ 3065</t>
  </si>
  <si>
    <t xml:space="preserve">9-8640684  </t>
  </si>
  <si>
    <t xml:space="preserve">bebaignacia@hotmail.com </t>
  </si>
  <si>
    <t>TURBUS</t>
  </si>
  <si>
    <t>14.405.243-9</t>
  </si>
  <si>
    <t>CECILIA RIVERA ROMERO</t>
  </si>
  <si>
    <t>TEMUCO</t>
  </si>
  <si>
    <t xml:space="preserve">AV. TORREMOLINO 410 LOCAL 132 </t>
  </si>
  <si>
    <t>CECILIA.MOHICANO@GMAIL.COM</t>
  </si>
  <si>
    <t>CECILIA RIVERA</t>
  </si>
  <si>
    <t>60 - 90 DIAS</t>
  </si>
  <si>
    <t>RIVERA JEANS</t>
  </si>
  <si>
    <t xml:space="preserve">TUR BUS , SIN INFORMAES COMERCIALES 20/02                                                           </t>
  </si>
  <si>
    <t>14.905.682-3</t>
  </si>
  <si>
    <t xml:space="preserve">CLAUDIO TORRES VIERAS </t>
  </si>
  <si>
    <t>BIO-BIO</t>
  </si>
  <si>
    <t>DIEGO PORTALES N°1110</t>
  </si>
  <si>
    <t>MARGAGONZALEZFLO@GMAIL.COM</t>
  </si>
  <si>
    <t>MARGARITA</t>
  </si>
  <si>
    <t>PAQUETERIA Y PERFUMERIA</t>
  </si>
  <si>
    <t>EL RINCONCITO DE LA MODA</t>
  </si>
  <si>
    <t>LOS ALAMOS</t>
  </si>
  <si>
    <t>15.627.315-5</t>
  </si>
  <si>
    <t>MAURICIO DONOSO MANTOYA</t>
  </si>
  <si>
    <t>CHOCRANE 651 LOCAL 109</t>
  </si>
  <si>
    <t>mauriciodonosomontoya@hotmail.com</t>
  </si>
  <si>
    <t>MAURICIO DONOSO</t>
  </si>
  <si>
    <t>TUR BUS OFICINA</t>
  </si>
  <si>
    <t>BOUTIQUE HERRADURA</t>
  </si>
  <si>
    <t>15.814.934-6</t>
  </si>
  <si>
    <t>CAROLINA DELGADO ROMERO</t>
  </si>
  <si>
    <t>LA LIGUA</t>
  </si>
  <si>
    <t>DENEBOLA 1033</t>
  </si>
  <si>
    <t>16.065.905-K</t>
  </si>
  <si>
    <t>16065905K</t>
  </si>
  <si>
    <t>PATRICIA CANALES</t>
  </si>
  <si>
    <t>PUNTA ARENAS</t>
  </si>
  <si>
    <t>BORIES 932 LOCAL 201</t>
  </si>
  <si>
    <t>09-94044305</t>
  </si>
  <si>
    <t>jorgecabett@hotmail.com</t>
  </si>
  <si>
    <t>NARIA OYARZUN LEIVA</t>
  </si>
  <si>
    <t>09-94044305 / 61-710598</t>
  </si>
  <si>
    <t>TIENDA JORGE CABBET</t>
  </si>
  <si>
    <t>16.868.500-9</t>
  </si>
  <si>
    <t>FRANKA SALAZAR MUÑOZ</t>
  </si>
  <si>
    <t>AV LLANQUIHUE 4216 D13</t>
  </si>
  <si>
    <t>055-547656</t>
  </si>
  <si>
    <t xml:space="preserve">franka92@hotmail.com </t>
  </si>
  <si>
    <t>FRANKA SALAZAR</t>
  </si>
  <si>
    <t>9-1595286</t>
  </si>
  <si>
    <t>BOUTIQUE FRANKAS</t>
  </si>
  <si>
    <t>ANTOFAGASTA</t>
  </si>
  <si>
    <t>BLOQUEO PEDIDO X CLIENTE NO DESPACHAR FALTA FONDOS</t>
  </si>
  <si>
    <t>18.282.453-4</t>
  </si>
  <si>
    <t>CONSTANZA CANALES OYARZUN</t>
  </si>
  <si>
    <t>BORIES 932 LOCAL 204</t>
  </si>
  <si>
    <t xml:space="preserve">61-710598  </t>
  </si>
  <si>
    <t xml:space="preserve">jorgecabett@hotmail.com </t>
  </si>
  <si>
    <t xml:space="preserve">MARIA OYARZUN </t>
  </si>
  <si>
    <t>TIENDAS JORGE CABETT</t>
  </si>
  <si>
    <t>3.877.646-0</t>
  </si>
  <si>
    <t>LUIS CARRASCO PERALTA</t>
  </si>
  <si>
    <t>SAN FERNANDO</t>
  </si>
  <si>
    <t>CHILLAN 502 LOCAL 13</t>
  </si>
  <si>
    <t>KATTIE.CARRASCO@HOTMAIL.COM</t>
  </si>
  <si>
    <t>ANDIMAR</t>
  </si>
  <si>
    <t>TIENDAS DE VESTIR Y CALZADO</t>
  </si>
  <si>
    <t>52.004.390-K</t>
  </si>
  <si>
    <t>52004390K</t>
  </si>
  <si>
    <t xml:space="preserve">WILFREDO ROJAS QUILODR  </t>
  </si>
  <si>
    <t>SAN CARLOS</t>
  </si>
  <si>
    <t>BALMACEDA 315</t>
  </si>
  <si>
    <t xml:space="preserve">42-411798  </t>
  </si>
  <si>
    <t>ALBANYSPORT@GMAIL.COM</t>
  </si>
  <si>
    <t>7.295.293-6</t>
  </si>
  <si>
    <t>ANA SAAVEDRA ORTIZ</t>
  </si>
  <si>
    <t>CAÑETE</t>
  </si>
  <si>
    <t>COVADONGA 240 LOCAL 1</t>
  </si>
  <si>
    <t>41-2-611782</t>
  </si>
  <si>
    <t>ANASAAVEDRAO@HOTMAIL.COM</t>
  </si>
  <si>
    <t xml:space="preserve">ANA SAAVEDRA  </t>
  </si>
  <si>
    <t xml:space="preserve">TRANSPORTE CHEVALIER , SIN INFORMES COMERCIALES 20/02                                               </t>
  </si>
  <si>
    <t>7.509.921-5</t>
  </si>
  <si>
    <t xml:space="preserve">NOLBERTO AVILA CORTES  </t>
  </si>
  <si>
    <t>CAUQUENES</t>
  </si>
  <si>
    <t>PRAT 549</t>
  </si>
  <si>
    <t>NOLBERTO.E.AVLA@GMAIL.COM</t>
  </si>
  <si>
    <t>SRA. CECILIA</t>
  </si>
  <si>
    <t>SCARLETT BOUTIQUE</t>
  </si>
  <si>
    <t>70.002.640-K</t>
  </si>
  <si>
    <t>70002640K</t>
  </si>
  <si>
    <t>COOPPATRIA</t>
  </si>
  <si>
    <t xml:space="preserve">SANTIAGO </t>
  </si>
  <si>
    <t>ZENTENO 190</t>
  </si>
  <si>
    <t>02-26994660</t>
  </si>
  <si>
    <t>pcaceres@coopatria.cl</t>
  </si>
  <si>
    <t xml:space="preserve">PAOLA CACERES </t>
  </si>
  <si>
    <t xml:space="preserve">PAOLA SAN MARTIN </t>
  </si>
  <si>
    <t>76.007.823-9</t>
  </si>
  <si>
    <t>COMERCIAL CARMEN TEMER EIRL</t>
  </si>
  <si>
    <t>ARAUCO</t>
  </si>
  <si>
    <t>ESMERALDA 365</t>
  </si>
  <si>
    <t>041-2552402</t>
  </si>
  <si>
    <t>carmentemer@gmail.com</t>
  </si>
  <si>
    <t xml:space="preserve">CARMEN TEMER  </t>
  </si>
  <si>
    <t>PRENDAS DE VESTIR</t>
  </si>
  <si>
    <t>MULTITIENDAS TEMER</t>
  </si>
  <si>
    <t>76.013.196-2</t>
  </si>
  <si>
    <t>MARIA PILAR JEREZ Y CIA.LTDA.</t>
  </si>
  <si>
    <t>JULIO SEPULVEDA 331</t>
  </si>
  <si>
    <t xml:space="preserve">45-712538  </t>
  </si>
  <si>
    <t xml:space="preserve">boutiqueloscisnes@gmail.com  </t>
  </si>
  <si>
    <t xml:space="preserve">SRA PILAR JEREZ  </t>
  </si>
  <si>
    <t>76.017.630-3</t>
  </si>
  <si>
    <t>COMERCIAL Q &amp; M LTDA.</t>
  </si>
  <si>
    <t>LADRILLEROS 247</t>
  </si>
  <si>
    <t xml:space="preserve">065-292000 </t>
  </si>
  <si>
    <t xml:space="preserve">malvarez@dimarsa.cl  </t>
  </si>
  <si>
    <t>MIRIAM ALVAREZ COMPR</t>
  </si>
  <si>
    <t>SANCHEZ</t>
  </si>
  <si>
    <t>6O DIAS</t>
  </si>
  <si>
    <t>DIMARSA</t>
  </si>
  <si>
    <t>QUELLON</t>
  </si>
  <si>
    <t xml:space="preserve">TRANSPORTE SANCHEZ                                                                                  </t>
  </si>
  <si>
    <t xml:space="preserve">COMERCIAL Q&amp;MPUERTO VARAS </t>
  </si>
  <si>
    <t>PUERTO VARAS</t>
  </si>
  <si>
    <t>SALVADOR 117</t>
  </si>
  <si>
    <t>065-2292650</t>
  </si>
  <si>
    <t>svargas@dimarsa.cl</t>
  </si>
  <si>
    <t>SANDRA VARGAS</t>
  </si>
  <si>
    <t>JEFA DE COMPRAS</t>
  </si>
  <si>
    <t>60 DIAS</t>
  </si>
  <si>
    <t>76.048.404-0</t>
  </si>
  <si>
    <t>SOC.COM.DON JORGE LTDA</t>
  </si>
  <si>
    <t xml:space="preserve">PANGUIPULLI </t>
  </si>
  <si>
    <t>MARTINEZ DE ROZAS 728</t>
  </si>
  <si>
    <t>063-311014-311089</t>
  </si>
  <si>
    <t xml:space="preserve">jorgeflandezg@yahoo.com </t>
  </si>
  <si>
    <t>ALEJANDRA FLANDEZ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</si>
  <si>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</si>
  <si>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</si>
  <si>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</si>
  <si>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</si>
  <si>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</si>
  <si>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TRANSPORTE LA FRONTERA , SIN INFORMACION COMERCIAL 20/02                                            </t>
  </si>
  <si>
    <t>76.049.842-4</t>
  </si>
  <si>
    <t>INVERSIONES JULIAN LTDA.</t>
  </si>
  <si>
    <t xml:space="preserve">RENGO </t>
  </si>
  <si>
    <t>PRAT 325</t>
  </si>
  <si>
    <t>09-72950801</t>
  </si>
  <si>
    <t>fernanda.roman@san-antonio.cl</t>
  </si>
  <si>
    <t>FERNANDA ROMAN</t>
  </si>
  <si>
    <t>JOKADAL</t>
  </si>
  <si>
    <t>45 dias</t>
  </si>
  <si>
    <t>MULTITIENDAS SAN ANTONIO</t>
  </si>
  <si>
    <t>RENGO</t>
  </si>
  <si>
    <t>76.067.887-2</t>
  </si>
  <si>
    <t>SOC COM SAN MARTIN Y TORRES LTDA</t>
  </si>
  <si>
    <t xml:space="preserve">SAN CARLOS  </t>
  </si>
  <si>
    <t>SERRANO 544 LOCAL 1-2</t>
  </si>
  <si>
    <t xml:space="preserve">042-416759 </t>
  </si>
  <si>
    <t>jsanmartin@tiendaelpunto.cl</t>
  </si>
  <si>
    <t>76.072.224-3</t>
  </si>
  <si>
    <t>SOC.COMERCIAL BOBERC LTDA.</t>
  </si>
  <si>
    <t>BLANCO 169</t>
  </si>
  <si>
    <t xml:space="preserve">65-3337952 </t>
  </si>
  <si>
    <t xml:space="preserve">boberck ptomontt@123.cl 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</si>
  <si>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</si>
  <si>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</si>
  <si>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</si>
  <si>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</si>
  <si>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</si>
  <si>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</si>
  <si>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</si>
  <si>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</si>
  <si>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76.079.186-5</t>
  </si>
  <si>
    <t>CARMEN WILLIAMS RIVERA EIRL</t>
  </si>
  <si>
    <t>SARGENTO ALDEA 1160</t>
  </si>
  <si>
    <t xml:space="preserve">67-336452  </t>
  </si>
  <si>
    <t xml:space="preserve">SERGIO KRAMARENCO </t>
  </si>
  <si>
    <t>tiendajavbian@gmail.com</t>
  </si>
  <si>
    <t>Jorge  QUINTANA</t>
  </si>
  <si>
    <t>9-0507606</t>
  </si>
  <si>
    <t>TRANSPORT ATE</t>
  </si>
  <si>
    <t>76.090.949-1</t>
  </si>
  <si>
    <t xml:space="preserve">SOCIEDAD COMERCIAL OLGA BOUTIQUE LTDA </t>
  </si>
  <si>
    <t>CAMILO HENRIQUEZ 331-B</t>
  </si>
  <si>
    <t xml:space="preserve">45-416539  </t>
  </si>
  <si>
    <t xml:space="preserve">olguitahermosilla@hotmail.com </t>
  </si>
  <si>
    <t xml:space="preserve">OLGA HERMOSILLA  </t>
  </si>
  <si>
    <t>OLGA BOUTIQUE</t>
  </si>
  <si>
    <t>VILLARICA</t>
  </si>
  <si>
    <t>76.099.347-6</t>
  </si>
  <si>
    <t>GLADYS VALDIVIA PEREZ EIRL</t>
  </si>
  <si>
    <t xml:space="preserve">LA LIGUA </t>
  </si>
  <si>
    <t>URIBE 166 LOCAL 2</t>
  </si>
  <si>
    <t xml:space="preserve">avenuelaligua@gmail.com </t>
  </si>
  <si>
    <t xml:space="preserve">GLADYS VALDIVIA  </t>
  </si>
  <si>
    <t xml:space="preserve">SOCIAS  </t>
  </si>
  <si>
    <t>JT</t>
  </si>
  <si>
    <t>BOUTIQUE AVENUE</t>
  </si>
  <si>
    <t>76.121.220-6</t>
  </si>
  <si>
    <t>SOC.COM.INOSTROZA GOMEZ LTDA.</t>
  </si>
  <si>
    <t>PRAT 577</t>
  </si>
  <si>
    <t xml:space="preserve">67-215040  </t>
  </si>
  <si>
    <t xml:space="preserve">tiendayuly@patagoniachile.cl </t>
  </si>
  <si>
    <t>PATRICIA GOMEZ</t>
  </si>
  <si>
    <t>FIORDOS</t>
  </si>
  <si>
    <t>TIENDAS  YULY</t>
  </si>
  <si>
    <t>76.168.779-4</t>
  </si>
  <si>
    <t xml:space="preserve">SOCIEDAD COMERCIAL C'MUA LTDA  </t>
  </si>
  <si>
    <t xml:space="preserve">SANTA CRUZ  </t>
  </si>
  <si>
    <t>RAFAEL CASANOVA 132 A</t>
  </si>
  <si>
    <t xml:space="preserve">72-824563  </t>
  </si>
  <si>
    <t>tiendacmua@gmail.com</t>
  </si>
  <si>
    <t>CONTRAENTREGA</t>
  </si>
  <si>
    <t>76.183.909-8</t>
  </si>
  <si>
    <t>SOCIEDAD COMERCIAL MKD CLOTHING LIMIT</t>
  </si>
  <si>
    <t>BADAJOZ 100 OFICINA 824</t>
  </si>
  <si>
    <t>2297995 - 02-3423289</t>
  </si>
  <si>
    <t xml:space="preserve">cvegamartino@gmail.com  </t>
  </si>
  <si>
    <t>CARLOS VEGA</t>
  </si>
  <si>
    <t>RETIRA</t>
  </si>
  <si>
    <t>9-6459506</t>
  </si>
  <si>
    <t>COMPRA VENTA PRENDAS DE VESTIR</t>
  </si>
  <si>
    <t>MKD LONDON CLOTHIN</t>
  </si>
  <si>
    <t xml:space="preserve">LAS CONDES </t>
  </si>
  <si>
    <t xml:space="preserve">RETIRAN AVISAR A CARLOS VEGA , SIN INFORMACION COMERCIAL 20/02                                      </t>
  </si>
  <si>
    <t>76.195.255-2</t>
  </si>
  <si>
    <t>COMERCIAL NACE SPA</t>
  </si>
  <si>
    <t>SAN MARTIN 539</t>
  </si>
  <si>
    <t>e.anabalon@mawi.cl, n.anabalon@mawi.cl, VENTAS@MAWI.CL</t>
  </si>
  <si>
    <t xml:space="preserve">ERIKA ANABALON </t>
  </si>
  <si>
    <t>60DIAS</t>
  </si>
  <si>
    <t>MAWI</t>
  </si>
  <si>
    <t>76.198.195-1</t>
  </si>
  <si>
    <t>COMERCIALIZADORA FACHAS Y CIA LTDA</t>
  </si>
  <si>
    <t>ORTIZ DE ROZAS 431</t>
  </si>
  <si>
    <t xml:space="preserve">33-2713347  </t>
  </si>
  <si>
    <t xml:space="preserve">fachasltda@hotmail.com  </t>
  </si>
  <si>
    <t>MARIA TERESA NAVARRO</t>
  </si>
  <si>
    <t>VESTUARIO Y ART DE HOGAR</t>
  </si>
  <si>
    <t>76.259.929-5</t>
  </si>
  <si>
    <t>VIOLETA LILIANA MEZA FLORES E.I.R.L.</t>
  </si>
  <si>
    <t xml:space="preserve">IQUIQUE  </t>
  </si>
  <si>
    <t>VIVAR 916</t>
  </si>
  <si>
    <t>057-2391306</t>
  </si>
  <si>
    <t xml:space="preserve">LILIANAMEZA@LIVE.COM </t>
  </si>
  <si>
    <t>Pullman Cargo</t>
  </si>
  <si>
    <t>76.339.520-0</t>
  </si>
  <si>
    <t>CONFECCIONES ARAUCO EIRL</t>
  </si>
  <si>
    <t>CONDELL 310</t>
  </si>
  <si>
    <t xml:space="preserve">tiendascycecilia@gmail.com  </t>
  </si>
  <si>
    <t xml:space="preserve">CECILIA </t>
  </si>
  <si>
    <t>CONFECCIONES Y COMERZIALISACION</t>
  </si>
  <si>
    <t xml:space="preserve">C Y CECILIA </t>
  </si>
  <si>
    <t xml:space="preserve">TRANSPORTE VILLA PRAT , SIN INFORMACION COMERCIAL 20/02                                             </t>
  </si>
  <si>
    <t>76.368.393-1</t>
  </si>
  <si>
    <t>VIRGINIA DIAZ E HIJOS LTDA.</t>
  </si>
  <si>
    <t>LAUTARO 362 2PISO</t>
  </si>
  <si>
    <t xml:space="preserve">45-713425  </t>
  </si>
  <si>
    <t xml:space="preserve">alfredonazal@gmail.com  </t>
  </si>
  <si>
    <t xml:space="preserve">ALFREDO NAZAL </t>
  </si>
  <si>
    <t>SULU</t>
  </si>
  <si>
    <t>76.454.354-8</t>
  </si>
  <si>
    <t xml:space="preserve">TIENDAS ALFREDO NAZAL EIRL  </t>
  </si>
  <si>
    <t>LAUTARO # 401</t>
  </si>
  <si>
    <t>ALFREDO NAZAL@GMAIL.COM</t>
  </si>
  <si>
    <t>VENTA PRENDAS DE VESTIR</t>
  </si>
  <si>
    <t>COM RAIMUNDO</t>
  </si>
  <si>
    <t>76.511.829-8</t>
  </si>
  <si>
    <t xml:space="preserve">GRANDES TIENDAS CASA BROWN SPA  </t>
  </si>
  <si>
    <t>THOMPSON 278</t>
  </si>
  <si>
    <t xml:space="preserve">065-530546 </t>
  </si>
  <si>
    <t xml:space="preserve">casabrown@live.cl </t>
  </si>
  <si>
    <t xml:space="preserve">MARCELA </t>
  </si>
  <si>
    <t>CASA BROWN</t>
  </si>
  <si>
    <t>76.658.950-2</t>
  </si>
  <si>
    <t xml:space="preserve">COOPELAN COMERCIAL S.A </t>
  </si>
  <si>
    <t>76.662.352-2</t>
  </si>
  <si>
    <t>ARTICULOS ELECTRONICOS NATALIA SAEZ MENDEZ E.I.R.L</t>
  </si>
  <si>
    <t xml:space="preserve">CHILLAN  </t>
  </si>
  <si>
    <t>CONSTITUCION 810 LOCAL 6</t>
  </si>
  <si>
    <t xml:space="preserve">enrique.pablo.c@gmail.com  </t>
  </si>
  <si>
    <t>NATALIA SAENZ</t>
  </si>
  <si>
    <t>60-90 DIAS</t>
  </si>
  <si>
    <t>VENTA DE PRENDAS DE VESTIR</t>
  </si>
  <si>
    <t>BONITA BOUTIQUE</t>
  </si>
  <si>
    <t>CHILLAN</t>
  </si>
  <si>
    <t xml:space="preserve">TRANSPORTES CHEVALIER , SIN INFORME COMERCIAL 20/02                                                 </t>
  </si>
  <si>
    <t>76.687.183-6</t>
  </si>
  <si>
    <t xml:space="preserve">NOELIA BOUTIQUE </t>
  </si>
  <si>
    <t>BRAZIL PORTAL ESTACION 479 LOC. 32</t>
  </si>
  <si>
    <t>NOELIAGARRIDO33@GMAIL.COM</t>
  </si>
  <si>
    <t>NOELIA GARRIDO</t>
  </si>
  <si>
    <t>30-60 DIAS</t>
  </si>
  <si>
    <t>NOELIA BOUTIQUE</t>
  </si>
  <si>
    <t>76.821.717-3</t>
  </si>
  <si>
    <t xml:space="preserve">COMERCIAL Y SERVICIOS WOLLERMANN SPA  </t>
  </si>
  <si>
    <t>PUERTO MONTT</t>
  </si>
  <si>
    <t>76.865.111-6</t>
  </si>
  <si>
    <t>SABA Y MILADE LTDA</t>
  </si>
  <si>
    <t>CAUPOLICAN 733</t>
  </si>
  <si>
    <t>SABAYMILADE@GMAIL.COM</t>
  </si>
  <si>
    <t>CALUDIA METUAZE</t>
  </si>
  <si>
    <t>77.029.510-6</t>
  </si>
  <si>
    <t>SIEGMUND HNOS.LTDA.</t>
  </si>
  <si>
    <t xml:space="preserve">VICTORIA </t>
  </si>
  <si>
    <t>PISAGUA 1201</t>
  </si>
  <si>
    <t>paulafsiegmunds@gmail.com</t>
  </si>
  <si>
    <t>PAULA SIEGMUND</t>
  </si>
  <si>
    <t>PATRICIA PAGOS</t>
  </si>
  <si>
    <t>PALMA</t>
  </si>
  <si>
    <t>CASA SIEGMUND</t>
  </si>
  <si>
    <t>VICTORIA</t>
  </si>
  <si>
    <t xml:space="preserve">GEMITA                                                                                              </t>
  </si>
  <si>
    <t>77.030.130-0</t>
  </si>
  <si>
    <t>DOLLY S.A.</t>
  </si>
  <si>
    <t>URMENETA #292</t>
  </si>
  <si>
    <t xml:space="preserve">65-2257585  </t>
  </si>
  <si>
    <t>proveedores.adulto@dolly.cl</t>
  </si>
  <si>
    <t>ZUCETTE</t>
  </si>
  <si>
    <t>30DIAS</t>
  </si>
  <si>
    <t>DOLLY</t>
  </si>
  <si>
    <t xml:space="preserve">CLIENTE CANCELA CON CHEQUE 30 DIAS 10% DESCUENTOVARMONTT                                            </t>
  </si>
  <si>
    <t>77.143.280-8</t>
  </si>
  <si>
    <t>SOC.COM.JORGE ANANIAS</t>
  </si>
  <si>
    <t xml:space="preserve">MULCHEN  </t>
  </si>
  <si>
    <t>VILLAGRAN 580</t>
  </si>
  <si>
    <t>PILAR_ANANIAS@HOTMAIL.COM</t>
  </si>
  <si>
    <t xml:space="preserve">PILAR ANANIAS </t>
  </si>
  <si>
    <t>CREDITO30 Y 60</t>
  </si>
  <si>
    <t>CASA REAL</t>
  </si>
  <si>
    <t>MULCHEN</t>
  </si>
  <si>
    <t>77.326.810-K</t>
  </si>
  <si>
    <t>77326810K</t>
  </si>
  <si>
    <t>GONART MODA LTDA.</t>
  </si>
  <si>
    <t>BENAVENTE 75</t>
  </si>
  <si>
    <t>053/2625600</t>
  </si>
  <si>
    <t>gonartmodas@gmail.com</t>
  </si>
  <si>
    <t>MULTITIENDA VESTUARIO</t>
  </si>
  <si>
    <t>GONART</t>
  </si>
  <si>
    <t>77.359.210-1</t>
  </si>
  <si>
    <t>DICAS LTDA.</t>
  </si>
  <si>
    <t>SAN MARTIN 409</t>
  </si>
  <si>
    <t xml:space="preserve">065-292650 </t>
  </si>
  <si>
    <t>77.570.460-8</t>
  </si>
  <si>
    <t>COMERCIAL REGINA LTDA</t>
  </si>
  <si>
    <t>SANTIAGO</t>
  </si>
  <si>
    <t>PADRE ORELLANA 1437</t>
  </si>
  <si>
    <t>AURELIO.HUILCA27@HOTMAIL.COM</t>
  </si>
  <si>
    <t>77.576.530-5</t>
  </si>
  <si>
    <t>ALMACENES ELTIT LTDA</t>
  </si>
  <si>
    <t xml:space="preserve">PUCON </t>
  </si>
  <si>
    <t>OHIGGINS 292</t>
  </si>
  <si>
    <t xml:space="preserve">45-441103-379550 </t>
  </si>
  <si>
    <t xml:space="preserve">IVONNE OSORIO </t>
  </si>
  <si>
    <t xml:space="preserve">PROPIO </t>
  </si>
  <si>
    <t>ELTIT</t>
  </si>
  <si>
    <t>PUCON</t>
  </si>
  <si>
    <t xml:space="preserve">TRANSPORTE PROPIOP                                                                                  </t>
  </si>
  <si>
    <t>77.594.510-9</t>
  </si>
  <si>
    <t>SOC.MATURANA GALVAN Y CIA.LTDA.</t>
  </si>
  <si>
    <t>ATACAMA 541 L-E</t>
  </si>
  <si>
    <t xml:space="preserve">052-236479 </t>
  </si>
  <si>
    <t>TULIO MATURANA</t>
  </si>
  <si>
    <t>EXPRESS</t>
  </si>
  <si>
    <t>BOUTIQUE PILCHAS</t>
  </si>
  <si>
    <t>77.934.770-2</t>
  </si>
  <si>
    <t>SEÑOR LEDESMA HNOS. LTDA.</t>
  </si>
  <si>
    <t>MANUEL MONTT 1198</t>
  </si>
  <si>
    <t>041-2650083</t>
  </si>
  <si>
    <t xml:space="preserve">juansenor@vtr.net </t>
  </si>
  <si>
    <t xml:space="preserve">JUAN SEÑOR LEDESMA  </t>
  </si>
  <si>
    <t>ART DEPORTIVO</t>
  </si>
  <si>
    <t>COMERCIAL SEVILLA</t>
  </si>
  <si>
    <t>78.416.190-0</t>
  </si>
  <si>
    <t>SOC.COMERCIAL BUVINIC LTDA.</t>
  </si>
  <si>
    <t>BORIES 766</t>
  </si>
  <si>
    <t>ALEBUVINIC@GLOBALCOM.CL</t>
  </si>
  <si>
    <t>bingojeanspuq@hotmail.com</t>
  </si>
  <si>
    <t>9-96407930</t>
  </si>
  <si>
    <t>TIENDA BAZAR</t>
  </si>
  <si>
    <t>BINGO JEANS</t>
  </si>
  <si>
    <t>78.801.490-2</t>
  </si>
  <si>
    <t>ALBASINI E HIJOS LIMITADA</t>
  </si>
  <si>
    <t>O'HIGGINS Nø402-420</t>
  </si>
  <si>
    <t xml:space="preserve">52-212788  </t>
  </si>
  <si>
    <t>franca@albasini.cl</t>
  </si>
  <si>
    <t xml:space="preserve">FRANCA ALBASINI  </t>
  </si>
  <si>
    <t>Van Oosterwyk</t>
  </si>
  <si>
    <t>ALBASINI SPORT</t>
  </si>
  <si>
    <t>78.840.090-K</t>
  </si>
  <si>
    <t>78840090K</t>
  </si>
  <si>
    <t>BOUTIQUE ADIQTUS LTDA.</t>
  </si>
  <si>
    <t>RAMIREZ 977 LOCAL 29</t>
  </si>
  <si>
    <t xml:space="preserve">64-201105  </t>
  </si>
  <si>
    <t>bveram@hotmail.com</t>
  </si>
  <si>
    <t>BLANCA VERA</t>
  </si>
  <si>
    <t>30 DÍAS</t>
  </si>
  <si>
    <t>BOUTIQUE ADIQTUS</t>
  </si>
  <si>
    <t>79.827.960-2</t>
  </si>
  <si>
    <t>COMERCIAL LOS CARRERA LTDA</t>
  </si>
  <si>
    <t xml:space="preserve">COQUIMBO </t>
  </si>
  <si>
    <t>ALDUNATE 1138</t>
  </si>
  <si>
    <t xml:space="preserve">51-315989  </t>
  </si>
  <si>
    <t>sin email</t>
  </si>
  <si>
    <t>SRTA ISABEL</t>
  </si>
  <si>
    <t xml:space="preserve">BOUTIQUE </t>
  </si>
  <si>
    <t>BOUTIQUE TEENS</t>
  </si>
  <si>
    <t>79.862.960-3</t>
  </si>
  <si>
    <t>EL ARTE DE VESTIR S.A.</t>
  </si>
  <si>
    <t>ERRAZURIZ 644</t>
  </si>
  <si>
    <t>615320-615350-615370</t>
  </si>
  <si>
    <t>jaguila@elartedevestir.cl</t>
  </si>
  <si>
    <t xml:space="preserve">RODRIGO ALVAREZ  </t>
  </si>
  <si>
    <t>CONOSUR</t>
  </si>
  <si>
    <t>GRANDES TIENDAS, CALZADO, IMP</t>
  </si>
  <si>
    <t>EL ARTE DE VESTIR</t>
  </si>
  <si>
    <t>79.982.490-6</t>
  </si>
  <si>
    <t>COMERCIAL MULTICENTRO LTDA.</t>
  </si>
  <si>
    <t xml:space="preserve">TALCA </t>
  </si>
  <si>
    <t>AV 07 ORIENTE 1620</t>
  </si>
  <si>
    <t xml:space="preserve">71-214581  </t>
  </si>
  <si>
    <t>MARCELOC@MULTICENTRO.CL</t>
  </si>
  <si>
    <t>CREDITO 60 DIAS</t>
  </si>
  <si>
    <t>MULTICENTRO</t>
  </si>
  <si>
    <t>TALCA</t>
  </si>
  <si>
    <t>81.210.300-8</t>
  </si>
  <si>
    <t>JAVER HNOS Y CIA LTDA</t>
  </si>
  <si>
    <t>SAN ANTONIO</t>
  </si>
  <si>
    <t>CENTENARIO 105</t>
  </si>
  <si>
    <t>M.ARMIJO@JAVER.CL</t>
  </si>
  <si>
    <t xml:space="preserve">M.ARMIJO@JAVER.CL </t>
  </si>
  <si>
    <t xml:space="preserve">M ARMIJO VENTAS  </t>
  </si>
  <si>
    <t>BEZANILLA</t>
  </si>
  <si>
    <t>JAVER</t>
  </si>
  <si>
    <t>81.242.500-5</t>
  </si>
  <si>
    <t>COOPERCARAB LTDA</t>
  </si>
  <si>
    <t>MAIPU 667</t>
  </si>
  <si>
    <t xml:space="preserve">(55)280856 </t>
  </si>
  <si>
    <t>tesoreriaantofa@coopercarabc.c</t>
  </si>
  <si>
    <t>COOPERCARAB</t>
  </si>
  <si>
    <t>BERNANDO O'HIGGINS 80</t>
  </si>
  <si>
    <t xml:space="preserve">(41) 2521576  </t>
  </si>
  <si>
    <t>comprasmktconcep@coopercarab.c</t>
  </si>
  <si>
    <t>COOPERCARAB LTDA.</t>
  </si>
  <si>
    <t>VICUÑA MAKENA 435</t>
  </si>
  <si>
    <t>45-640200  45-642002</t>
  </si>
  <si>
    <t xml:space="preserve">gestiontemuco@coopercarab.cl  </t>
  </si>
  <si>
    <t>MAC-IVER 245</t>
  </si>
  <si>
    <t>562-33039629 / ANEXO 9629</t>
  </si>
  <si>
    <t>analistafinanzas@coopercarab.c</t>
  </si>
  <si>
    <t xml:space="preserve">ETEPANO@COOPERCARAB.CL  </t>
  </si>
  <si>
    <t xml:space="preserve">EMILIA TEPANO </t>
  </si>
  <si>
    <t>COOPERCARAB TIENDAS</t>
  </si>
  <si>
    <t>COOPERCARAB LTDA.(VALPARAISO)</t>
  </si>
  <si>
    <t xml:space="preserve">VALPARAISO  </t>
  </si>
  <si>
    <t>MONJAS 292</t>
  </si>
  <si>
    <t xml:space="preserve">32-2255841 2252033  </t>
  </si>
  <si>
    <t>opervalpo@coopercarab.cl</t>
  </si>
  <si>
    <t>VALPARAISO</t>
  </si>
  <si>
    <t>COOPERCARAB PUERTO MONTT</t>
  </si>
  <si>
    <t>URMENETA 778</t>
  </si>
  <si>
    <t>tesoreriapmontt@coopercarab.cl</t>
  </si>
  <si>
    <t>82.016.600-0</t>
  </si>
  <si>
    <t>HADWEH HERMANOS LTDA</t>
  </si>
  <si>
    <t>ARTURO PRAT 2499</t>
  </si>
  <si>
    <t xml:space="preserve">73-2322204  </t>
  </si>
  <si>
    <t>el_pobrediablo@hotmail.com</t>
  </si>
  <si>
    <t>OLEA</t>
  </si>
  <si>
    <t>EL POBRE DIABLO</t>
  </si>
  <si>
    <t xml:space="preserve">TRANSPORTE OLEA                                                                                     </t>
  </si>
  <si>
    <t>82.120.700-2</t>
  </si>
  <si>
    <t>SOC.COM.NOCERA Y CIA. LTDA.</t>
  </si>
  <si>
    <t>BORIES 539</t>
  </si>
  <si>
    <t xml:space="preserve">61-223355  </t>
  </si>
  <si>
    <t>GNOCERA@NOCERA.CL</t>
  </si>
  <si>
    <t xml:space="preserve">GIOVANNA NOCERA  </t>
  </si>
  <si>
    <t>NOCERA</t>
  </si>
  <si>
    <t>83.382.700-6</t>
  </si>
  <si>
    <t>COMERCIAL ECCSA S.A.</t>
  </si>
  <si>
    <t>83.715.800-1</t>
  </si>
  <si>
    <t>SOC.FLORES ALMANDOZ NAIR Y CIA LTDA</t>
  </si>
  <si>
    <t xml:space="preserve">VALLENAR </t>
  </si>
  <si>
    <t>ARTURO PRAT Nø1370</t>
  </si>
  <si>
    <t xml:space="preserve">51-544470  </t>
  </si>
  <si>
    <t>cvalencia69@gmail.com</t>
  </si>
  <si>
    <t>CRISTIAN VALENCIA</t>
  </si>
  <si>
    <t>LOS CONQUISTADORES</t>
  </si>
  <si>
    <t>MULTITIENDAS FANYC</t>
  </si>
  <si>
    <t>85.690.700-7</t>
  </si>
  <si>
    <t>COMERCIAL GERMANI S.A</t>
  </si>
  <si>
    <t>INDEPENDENCIA 157</t>
  </si>
  <si>
    <t xml:space="preserve">73-2620000  </t>
  </si>
  <si>
    <t>GERMANILINARES@GERMANI.CL</t>
  </si>
  <si>
    <t xml:space="preserve">GERMAN GONZALEZ  </t>
  </si>
  <si>
    <t>LOGISTEX</t>
  </si>
  <si>
    <t>CONTADO - 30DIAS</t>
  </si>
  <si>
    <t>GERMANI</t>
  </si>
  <si>
    <t>86.933.600-9</t>
  </si>
  <si>
    <t>EVITA LTDA.</t>
  </si>
  <si>
    <t>COLO COLO 469</t>
  </si>
  <si>
    <t>PROVEEDOR@EVITA.CL</t>
  </si>
  <si>
    <t xml:space="preserve">EVELYN ALAMO  </t>
  </si>
  <si>
    <t>ARRIERO LIT CARGO</t>
  </si>
  <si>
    <t>EVITA</t>
  </si>
  <si>
    <t xml:space="preserve">CLIENTE CANCELA CON CHEQUE 30 DIAS Y 5% DESCUENTO                                                   </t>
  </si>
  <si>
    <t>89.258.600-4</t>
  </si>
  <si>
    <t>ESTABLECIMIENTOS GERMANI S.A.</t>
  </si>
  <si>
    <t>1 SUR 1442</t>
  </si>
  <si>
    <t xml:space="preserve">71-2229001  </t>
  </si>
  <si>
    <t>EMORAGA@GERMANI.CL</t>
  </si>
  <si>
    <t>FERNANDO GONZALEZ</t>
  </si>
  <si>
    <t>CONTADO -30DIAS</t>
  </si>
  <si>
    <t xml:space="preserve">BODEGAL SOLICITAR AUTORIZACION DE ENTREGA A EDITH ROJAS VIA EMAIL                                   </t>
  </si>
  <si>
    <t>9.411.156-4</t>
  </si>
  <si>
    <t>ANA MARIA SANCHEZ LUENGO</t>
  </si>
  <si>
    <t>PUREN</t>
  </si>
  <si>
    <t>IMPERIAL N° 667</t>
  </si>
  <si>
    <t>anamaria.sanchezluengo@gmail.com</t>
  </si>
  <si>
    <t>CONTADO 30 Y 60 DIAS</t>
  </si>
  <si>
    <t>PAQUETERIA</t>
  </si>
  <si>
    <t>PAQUETERIA KEY-RON</t>
  </si>
  <si>
    <t>9.623.442-2</t>
  </si>
  <si>
    <t>MIRNA PACHECO</t>
  </si>
  <si>
    <t>CABRERO</t>
  </si>
  <si>
    <t>RIO CLARO N°249</t>
  </si>
  <si>
    <t>MIRNA_PACHRAB@HOTMAIL.COM</t>
  </si>
  <si>
    <t>9.811.708-3</t>
  </si>
  <si>
    <t>MARIA VICTORIA FAUNDEZ LOPEZ</t>
  </si>
  <si>
    <t>AV 5 DE ABRIL 640</t>
  </si>
  <si>
    <t xml:space="preserve">42-241618  </t>
  </si>
  <si>
    <t>victoriaf99@live.cl</t>
  </si>
  <si>
    <t>MARIA VICTORIA FAUNDEZ</t>
  </si>
  <si>
    <t>FAMA</t>
  </si>
  <si>
    <t>92.946.000-6</t>
  </si>
  <si>
    <t>ESTABLECIMIENTOS COMERCIALES SEIDEMAN</t>
  </si>
  <si>
    <t>LA CALERA</t>
  </si>
  <si>
    <t>J.J.PEREZ Nø254</t>
  </si>
  <si>
    <t>gerencia@seidemann.cl</t>
  </si>
  <si>
    <t xml:space="preserve">MIRIAM  </t>
  </si>
  <si>
    <t>PROPIO RETIRAN</t>
  </si>
  <si>
    <t>30 dias</t>
  </si>
  <si>
    <t>SEIDEMANN</t>
  </si>
  <si>
    <t xml:space="preserve">TRANSPORTE PROPIO LLAMAR A ELIZABETH A SEIDEMANN PARA RETIRO                                        </t>
  </si>
  <si>
    <t>93.224.000-9</t>
  </si>
  <si>
    <t>DIMARSA S.A.</t>
  </si>
  <si>
    <t>CHILLAN 117</t>
  </si>
  <si>
    <t>ignacio.rivas@dimarsa.cl</t>
  </si>
  <si>
    <t>J.AREA6@DIMARSA.CL</t>
  </si>
  <si>
    <t>IGNACIO RIVAS</t>
  </si>
  <si>
    <t>96.589.040-8</t>
  </si>
  <si>
    <t>DISTRIBUIDORA MULTIHOGAR S.A.</t>
  </si>
  <si>
    <t>CURICO</t>
  </si>
  <si>
    <t>PEÑA 800</t>
  </si>
  <si>
    <t xml:space="preserve">75/204600  </t>
  </si>
  <si>
    <t xml:space="preserve">pinfante@multihogar.cl  </t>
  </si>
  <si>
    <t xml:space="preserve">PATRICIO INFANTE </t>
  </si>
  <si>
    <t>STORAGE</t>
  </si>
  <si>
    <t>792-$16.126.370</t>
  </si>
  <si>
    <t>MULTIHOGAR</t>
  </si>
  <si>
    <t>96.732.380-2</t>
  </si>
  <si>
    <t>COMERCIAL CASA ALICIA S.A.</t>
  </si>
  <si>
    <t>CONDELL 173</t>
  </si>
  <si>
    <t xml:space="preserve">67-232190  </t>
  </si>
  <si>
    <t>soledad@casaalicia.cl</t>
  </si>
  <si>
    <t xml:space="preserve">SOLEDAD GONZALEZ </t>
  </si>
  <si>
    <t>7-8259842</t>
  </si>
  <si>
    <t>CASA ALICIA</t>
  </si>
  <si>
    <t>COUHAIQUE</t>
  </si>
  <si>
    <t>96.866.770-K</t>
  </si>
  <si>
    <t>96866770K</t>
  </si>
  <si>
    <t xml:space="preserve">EMILIO HANANIAS E HIJO  </t>
  </si>
  <si>
    <t>TALCAHUANO</t>
  </si>
  <si>
    <t>COLON Nø484</t>
  </si>
  <si>
    <t xml:space="preserve">41-791790  </t>
  </si>
  <si>
    <t>MUNDOHOGARTHNO@GMAIL.COM</t>
  </si>
  <si>
    <t>76.651.848-6</t>
  </si>
  <si>
    <t>FORCAEL INOSTROZA LTDA.</t>
  </si>
  <si>
    <t>VALDIVIA  485  LOCAL  32</t>
  </si>
  <si>
    <t>francisco.inostroza70@gmail.com</t>
  </si>
  <si>
    <t>FRANCISCO INOSTROZA</t>
  </si>
  <si>
    <t>ANGELES JEANS</t>
  </si>
  <si>
    <t>11.419.592-8</t>
  </si>
  <si>
    <t xml:space="preserve">KARINA LISETT GUHISELLINI CABALERI </t>
  </si>
  <si>
    <t>LUMACO</t>
  </si>
  <si>
    <t>SANTA MARIA 360</t>
  </si>
  <si>
    <t xml:space="preserve">45-815131  </t>
  </si>
  <si>
    <t>supermercadoguisellini@hotmail</t>
  </si>
  <si>
    <t>ALEJANDRO GHISELINI</t>
  </si>
  <si>
    <t>DICOM 4.553.091 27/03/13   PAGARE PROTESTADO POR $ 35.753.077 13/05/2013</t>
  </si>
  <si>
    <t>9.997.811-2</t>
  </si>
  <si>
    <t>LUZMENIA MALDONADO</t>
  </si>
  <si>
    <t>CALBUCO</t>
  </si>
  <si>
    <t>77.101.721-5</t>
  </si>
  <si>
    <t>COMERCIALIZADORA GRAN AVENTURA SPA</t>
  </si>
  <si>
    <t>DIEGO PORTALES 854 LOCAL 12</t>
  </si>
  <si>
    <t>EPI.MARCO@GMAIL.COM</t>
  </si>
  <si>
    <t>4.070.003-K</t>
  </si>
  <si>
    <t xml:space="preserve"> 4070003K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</si>
  <si>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</si>
  <si>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</si>
  <si>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</si>
  <si>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</si>
  <si>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</si>
  <si>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13.411.102-K</t>
  </si>
  <si>
    <t>13411102K</t>
  </si>
  <si>
    <t>SILVIA DIAZ HARO</t>
  </si>
  <si>
    <t>TENIENTE MERINO 499 LOCAL C</t>
  </si>
  <si>
    <t>8-1516114</t>
  </si>
  <si>
    <t>tienda-angel@hotmail.com</t>
  </si>
  <si>
    <t>CONCHARANE</t>
  </si>
  <si>
    <t>5.178.314-K</t>
  </si>
  <si>
    <t>5178314K</t>
  </si>
  <si>
    <t>JUAN ALONQUEO MAZA</t>
  </si>
  <si>
    <t>CHILE CHICO</t>
  </si>
  <si>
    <t>JOSE MIGUEL CARRERA 316</t>
  </si>
  <si>
    <t>roblehuacho09@gmail.com</t>
  </si>
  <si>
    <t>Sr. Juan Alonqueo</t>
  </si>
  <si>
    <t>CASA YALE</t>
  </si>
  <si>
    <t>8.191. 509-1</t>
  </si>
  <si>
    <t>8191 5091</t>
  </si>
  <si>
    <t>MONICA OYARSUN</t>
  </si>
  <si>
    <t>CHONCHI</t>
  </si>
  <si>
    <t>CENTENARIO 145</t>
  </si>
  <si>
    <t>oyarzunborquezmonica@hotmail.Com</t>
  </si>
  <si>
    <t>CLIENTE NO TIENE CAPACIDAD PARA SER MAYORISTA</t>
  </si>
  <si>
    <t>16.260.374-4</t>
  </si>
  <si>
    <t xml:space="preserve">JETZABEL AGUIRRE ALVAREZ  </t>
  </si>
  <si>
    <t>CALAMA</t>
  </si>
  <si>
    <t>AV HAYTIQUINA 972 VILLA KAMAS</t>
  </si>
  <si>
    <t xml:space="preserve">jetzabel.aguirre@gmail.com </t>
  </si>
  <si>
    <t>17.331.203-2</t>
  </si>
  <si>
    <t>CAROLINA GALLARDO CEPEDA</t>
  </si>
  <si>
    <t>VALLENAR</t>
  </si>
  <si>
    <t>14 DE JULIO 474</t>
  </si>
  <si>
    <t>CAROLINA.CJGC@GMAIL.COM</t>
  </si>
  <si>
    <t>77.226.836-K</t>
  </si>
  <si>
    <t>77226836K</t>
  </si>
  <si>
    <t>CAMILA BOUTIQUE SPA</t>
  </si>
  <si>
    <t>CARTER Y GALLO 708 ST 22</t>
  </si>
  <si>
    <t>CAMILA_ANDRETORREJON@HOTMAIL.COM</t>
  </si>
  <si>
    <t>Sra. Camila jaime</t>
  </si>
  <si>
    <t>CHILE LINDO</t>
  </si>
  <si>
    <t>VESTUARIO</t>
  </si>
  <si>
    <t>CAMILA BOUTIQUE</t>
  </si>
  <si>
    <t>16.259.311-0</t>
  </si>
  <si>
    <t>KATERIN FRANCHESCA CASANGA SANTANA</t>
  </si>
  <si>
    <t>RAMIREZ 2120 A</t>
  </si>
  <si>
    <t>boutiquelascala@gmail.com</t>
  </si>
  <si>
    <t>6.092.183-0</t>
  </si>
  <si>
    <t>NORA BARRAZA MILLA</t>
  </si>
  <si>
    <t>DIEGO DE ALMAGRO</t>
  </si>
  <si>
    <t>JUAN MARTINEZ 912</t>
  </si>
  <si>
    <t>522441225-99789159 Verónica</t>
  </si>
  <si>
    <t xml:space="preserve">joyas_veronica@hotmail.com </t>
  </si>
  <si>
    <t>VERONICA NARANJO</t>
  </si>
  <si>
    <t>ENCARGADA</t>
  </si>
  <si>
    <t>STARKEN</t>
  </si>
  <si>
    <t>NORA BARRAZA</t>
  </si>
  <si>
    <t>76775608-9</t>
  </si>
  <si>
    <t>VENTAS DE PRENDAS DE VESTIR SALLY LTDA</t>
  </si>
  <si>
    <t>PRATT 560</t>
  </si>
  <si>
    <t>89468572-930567074</t>
  </si>
  <si>
    <t>sallymodasmujer@hotmail.com</t>
  </si>
  <si>
    <t>76.560.242-4</t>
  </si>
  <si>
    <t>CECILIA ROJO E.I.R.L</t>
  </si>
  <si>
    <t>VICUNA MACKENNA102 GALE VALLE</t>
  </si>
  <si>
    <t>ceciliarojojimenez@hotmail.com</t>
  </si>
  <si>
    <t>CECILIA ROJO JIMENEZ</t>
  </si>
  <si>
    <t>GIRASOLES BOUTIQUE</t>
  </si>
  <si>
    <t>3.297.785-5</t>
  </si>
  <si>
    <t>JUAN ALVARADO PEREIRA</t>
  </si>
  <si>
    <t>BRASIL 681</t>
  </si>
  <si>
    <t>51-610755</t>
  </si>
  <si>
    <t xml:space="preserve">TIENDAJOSSELIN@HOTMAIL.COM </t>
  </si>
  <si>
    <t>JUAN ALVARADO</t>
  </si>
  <si>
    <t>NUMERO TELEFONICO EXTRANJERO</t>
  </si>
  <si>
    <t>16.549.586-1</t>
  </si>
  <si>
    <t>DAFNE VILLALOBOS</t>
  </si>
  <si>
    <t>SITIO 20 LIMARI</t>
  </si>
  <si>
    <t>DAFNEVILLALOBOS009@HOTMAIL.COM</t>
  </si>
  <si>
    <t>13.744.036-9</t>
  </si>
  <si>
    <t>CARLA ALIAGA</t>
  </si>
  <si>
    <t>PRAT 1389</t>
  </si>
  <si>
    <t>ca_aliaga@hotmail.com</t>
  </si>
  <si>
    <t>17.625.296-0</t>
  </si>
  <si>
    <t>ANGELA FONTANA BUGUEÑO</t>
  </si>
  <si>
    <t>CARLOS CRUZAT 2952</t>
  </si>
  <si>
    <t>angelafontana.1990@gmail.com</t>
  </si>
  <si>
    <t>ANGELA FONTANA</t>
  </si>
  <si>
    <t>18.688.942-8</t>
  </si>
  <si>
    <t>JUANA ELIZABETH ARAYA CAMPUSANO</t>
  </si>
  <si>
    <t>PASAJE LOS DOMINICOS 68</t>
  </si>
  <si>
    <t>juana.arayacampusano@gmail.com</t>
  </si>
  <si>
    <t>JUANA ARAYA CAMPUSANO</t>
  </si>
  <si>
    <t>77.206.618-K</t>
  </si>
  <si>
    <t>77206618K</t>
  </si>
  <si>
    <t>VTAS.DE PRENDAS DE VESTIR MARCY DUARTE Z E.I.R.L.</t>
  </si>
  <si>
    <t>ARTURO PRAT 874 LOCAL 5</t>
  </si>
  <si>
    <t>marcy.duarte@hotmail.com</t>
  </si>
  <si>
    <t>SRA. MARCY DUARTE ZAMORA</t>
  </si>
  <si>
    <t>TIENDA DE VESTUARIO</t>
  </si>
  <si>
    <t>DULCE MODA BOUTIQUE</t>
  </si>
  <si>
    <t>77.209.039-0</t>
  </si>
  <si>
    <t>DUSAN SPA</t>
  </si>
  <si>
    <t>CALLE 18 DE SEPTIEMBRE 998</t>
  </si>
  <si>
    <t>TIENDADUSANCHILE@GMAIL.COM</t>
  </si>
  <si>
    <t>INSTAGRAM: @tiendadusan.cl</t>
  </si>
  <si>
    <t>LEXMI FUENTES LAGOS</t>
  </si>
  <si>
    <t>DUSAN</t>
  </si>
  <si>
    <t xml:space="preserve"> TIENDA ONLINE</t>
  </si>
  <si>
    <t>77.141.865-1</t>
  </si>
  <si>
    <t>COMERCIAL JOHANNA  BOUTIQUE LIMITADA</t>
  </si>
  <si>
    <t>ANIBAL PINTO 715 LOCAL 116</t>
  </si>
  <si>
    <t>JOHANNALEIVA325@GMAIL.COM</t>
  </si>
  <si>
    <t>JOHANNA LEIVA</t>
  </si>
  <si>
    <t>TVP</t>
  </si>
  <si>
    <t>JOHANNA BOUTIQUE</t>
  </si>
  <si>
    <t>77.247.714-7</t>
  </si>
  <si>
    <t>ANGELES JEANS CONCEPCION SPA</t>
  </si>
  <si>
    <t>FREIRE 740 LOCAL 35</t>
  </si>
  <si>
    <t>FORCAELCAMILA@GMAIL.COM</t>
  </si>
  <si>
    <t>www.angelesjeans.cl</t>
  </si>
  <si>
    <t>CAMILA FORCAEL RIVAS</t>
  </si>
  <si>
    <t>76.405.849-6</t>
  </si>
  <si>
    <t>COMERCIAL LE PETIT BOUTIQUE</t>
  </si>
  <si>
    <t>ARTURO PEREZ CANTO N° 519</t>
  </si>
  <si>
    <t>MAGONZAL@GMAIL.COM</t>
  </si>
  <si>
    <t>LE PETIT</t>
  </si>
  <si>
    <t>77.186.209-8</t>
  </si>
  <si>
    <t>BOUTIQUE CATALINA VELIZ EIRL</t>
  </si>
  <si>
    <t>PARQUE ZAPALLAR LAS GRACIAS695</t>
  </si>
  <si>
    <t>13.095.768-4</t>
  </si>
  <si>
    <t>PAOLA FUENTES FLORES</t>
  </si>
  <si>
    <t>RANCAGUA</t>
  </si>
  <si>
    <t>MONSEÑOR DIEGO DE MEDELLIN1539</t>
  </si>
  <si>
    <t>POLA.F@HOTMAIL.CL</t>
  </si>
  <si>
    <t>CREDITO 3O Y 60</t>
  </si>
  <si>
    <t>14.635.110-7</t>
  </si>
  <si>
    <t>CAROLINA MIRANDA</t>
  </si>
  <si>
    <t>SANTA CRUZ</t>
  </si>
  <si>
    <t>RAFAEL CASANOVA 213 SANTA CRUZ</t>
  </si>
  <si>
    <t>CAROLINAMIRANDA09@HOTMAIL.COM</t>
  </si>
  <si>
    <t>77.125.068-8</t>
  </si>
  <si>
    <t>BOUTIQUE DIVAZ</t>
  </si>
  <si>
    <t>ESMERALDA  N° 427 LOCAL 45</t>
  </si>
  <si>
    <t>ACOMODAR NUMERO</t>
  </si>
  <si>
    <t>ayanca12@gmail.com</t>
  </si>
  <si>
    <t>PULMANN</t>
  </si>
  <si>
    <t>77.730.780-0</t>
  </si>
  <si>
    <t>MANUF E IMPORTADORA TITANIUM LTDA</t>
  </si>
  <si>
    <t>AV . PRESIDENTE KENNEDY 5600</t>
  </si>
  <si>
    <t>81.201.000-K</t>
  </si>
  <si>
    <t>81201000K</t>
  </si>
  <si>
    <t>CENCOSUD (PARIS-CL)</t>
  </si>
  <si>
    <t>AV. KENNEDY 9001 PISO 5</t>
  </si>
  <si>
    <t>76.029.365-2</t>
  </si>
  <si>
    <t>COMPRA Y VENTA DE JEANS Y ACCESORIOS DIVAS LTDA</t>
  </si>
  <si>
    <t>YUNGAY 746</t>
  </si>
  <si>
    <t>SANDRYANTONIETA@GAMIL.COM</t>
  </si>
  <si>
    <t>DIVAS</t>
  </si>
  <si>
    <t>10.561.305-9</t>
  </si>
  <si>
    <t>MARISOL DURAN NAVARRO</t>
  </si>
  <si>
    <t>SERRANO 533-A</t>
  </si>
  <si>
    <t>MARISOL_DURAN_N@HOTMAIL.COM</t>
  </si>
  <si>
    <t>LA GAVIOTA</t>
  </si>
  <si>
    <t>76.899.437-4</t>
  </si>
  <si>
    <t>COMERCIAL CALBUMAR LIMITADA</t>
  </si>
  <si>
    <t>FEDERICO ERRAZURIZ 221</t>
  </si>
  <si>
    <t>IGNACIO.RIVAS@DIMARSA.CL</t>
  </si>
  <si>
    <t>76.640.080-9</t>
  </si>
  <si>
    <t>MULTITIENDAS DI AYSEN</t>
  </si>
  <si>
    <t>AYSEN</t>
  </si>
  <si>
    <t>TENIENTE MERINO 945 ESQ.CAUPOLICAN</t>
  </si>
  <si>
    <t>GONART MODAS LTDA</t>
  </si>
  <si>
    <t>SRA. MARIA E BORIC</t>
  </si>
  <si>
    <t>CREDITO 30 Y 60 DIAS</t>
  </si>
  <si>
    <t>MULTITIENDA</t>
  </si>
  <si>
    <t>GONART MODAS</t>
  </si>
  <si>
    <t>77.091.357-8</t>
  </si>
  <si>
    <t>EMILIA MARÍA PALMA VILCHES</t>
  </si>
  <si>
    <t>VII REGION</t>
  </si>
  <si>
    <t>ARTURO PRAT 2545 SAN JAVIER</t>
  </si>
  <si>
    <t>mili.palma@gmail.com</t>
  </si>
  <si>
    <t>EMILIA SPA</t>
  </si>
  <si>
    <t>76.975.824-0</t>
  </si>
  <si>
    <t>INVERSIONES ARMONI LTDA</t>
  </si>
  <si>
    <t>SAAVEDRA N°419</t>
  </si>
  <si>
    <t>psanchez@armonie.cl</t>
  </si>
  <si>
    <t>MENA</t>
  </si>
  <si>
    <t>76.038.181-0</t>
  </si>
  <si>
    <t>SOCIEDAD COMERCIAL ARS LTDA.</t>
  </si>
  <si>
    <t>YUNGAY</t>
  </si>
  <si>
    <t>ANGAMOS N° 122</t>
  </si>
  <si>
    <t>42 268 02 63</t>
  </si>
  <si>
    <t>JORGE CUEVAS</t>
  </si>
  <si>
    <t>tiendasbyn@gmail.com</t>
  </si>
  <si>
    <t>BLANCO Y NEGRO</t>
  </si>
  <si>
    <t>76.824.379-4</t>
  </si>
  <si>
    <t>BOUTIQUE LA HERRADURA LIMITADA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</si>
  <si>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</si>
  <si>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</si>
  <si>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</si>
  <si>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</si>
  <si>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</si>
  <si>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</si>
  <si>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</si>
  <si>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80.856.900-0</t>
  </si>
  <si>
    <t>SOC.COM.E INMOB. SANTOLAYA HNOS LTDA.</t>
  </si>
  <si>
    <t>A.PRAT 585</t>
  </si>
  <si>
    <t>8-5277040</t>
  </si>
  <si>
    <t>casacastilla@vtr.net</t>
  </si>
  <si>
    <t>PULLMAN CARGO</t>
  </si>
  <si>
    <t>12.213.725-2</t>
  </si>
  <si>
    <t>JENNY RAMIREZ MORENO</t>
  </si>
  <si>
    <t>LAS GARDENIAS 1394 VILLA FLORI</t>
  </si>
  <si>
    <t>JEPAT72@HOTMAIL.COM</t>
  </si>
  <si>
    <t>14.557.734-9</t>
  </si>
  <si>
    <t>PATRICIA SALAZAR MUÑOZ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</si>
  <si>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</si>
  <si>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</si>
  <si>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</si>
  <si>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</si>
  <si>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</si>
  <si>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</si>
  <si>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</si>
  <si>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</si>
  <si>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</si>
  <si>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</si>
  <si>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RETIRA Sn Gerardo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</si>
  <si>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</si>
  <si>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</si>
  <si>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</si>
  <si>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</si>
  <si>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</si>
  <si>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</si>
  <si>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</si>
  <si>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</si>
  <si>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</si>
  <si>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</si>
  <si>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</si>
  <si>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</si>
  <si>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</si>
  <si>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</si>
  <si>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</si>
  <si>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</si>
  <si>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</si>
  <si>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</si>
  <si>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</si>
  <si>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</si>
  <si>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</si>
  <si>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</si>
  <si>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</si>
  <si>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</si>
  <si>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</si>
  <si>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</si>
  <si>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</si>
  <si>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</si>
  <si>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</si>
  <si>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</si>
  <si>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</si>
  <si>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</si>
  <si>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</si>
  <si>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</si>
  <si>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</si>
  <si>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</si>
  <si>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</si>
  <si>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</si>
  <si>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</si>
  <si>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</si>
  <si>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</si>
  <si>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</si>
  <si>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</si>
  <si>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</si>
  <si>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</si>
  <si>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</si>
  <si>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</si>
  <si>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</si>
  <si>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</si>
  <si>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</si>
  <si>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</si>
  <si>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</si>
  <si>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</si>
  <si>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</si>
  <si>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</si>
  <si>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</si>
  <si>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</si>
  <si>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</si>
  <si>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</si>
  <si>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</si>
  <si>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</si>
  <si>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</si>
  <si>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</si>
  <si>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</si>
  <si>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</si>
  <si>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</si>
  <si>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</si>
  <si>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</si>
  <si>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</si>
  <si>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</si>
  <si>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</si>
  <si>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</si>
  <si>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</si>
  <si>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</si>
  <si>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</si>
  <si>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</si>
  <si>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</si>
  <si>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</si>
  <si>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</si>
  <si>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</si>
  <si>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</si>
  <si>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</si>
  <si>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</si>
  <si>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</si>
  <si>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</si>
  <si>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</si>
  <si>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</si>
  <si>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</si>
  <si>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</si>
  <si>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</si>
  <si>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</si>
  <si>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</si>
  <si>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</si>
  <si>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</si>
  <si>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</si>
  <si>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</si>
  <si>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</si>
  <si>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</si>
  <si>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</si>
  <si>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</si>
  <si>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</si>
  <si>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</si>
  <si>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CASTRO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</si>
  <si>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</si>
  <si>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</si>
  <si>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</si>
  <si>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</si>
  <si>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</si>
  <si>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</si>
  <si>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</si>
  <si>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</si>
  <si>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</si>
  <si>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</si>
  <si>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</si>
  <si>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</si>
  <si>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</si>
  <si>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</si>
  <si>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</si>
  <si>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</si>
  <si>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</si>
  <si>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</si>
  <si>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</si>
  <si>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</si>
  <si>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</si>
  <si>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</si>
  <si>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</si>
  <si>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</si>
  <si>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</si>
  <si>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</si>
  <si>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</si>
  <si>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</si>
  <si>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</si>
  <si>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</si>
  <si>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</si>
  <si>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</si>
  <si>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</si>
  <si>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</si>
  <si>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</si>
  <si>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</si>
  <si>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</si>
  <si>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</si>
  <si>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</si>
  <si>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</si>
  <si>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</si>
  <si>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</si>
  <si>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</si>
  <si>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</si>
  <si>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</si>
  <si>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</si>
  <si>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</si>
  <si>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</si>
  <si>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</si>
  <si>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</si>
  <si>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</si>
  <si>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</si>
  <si>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</si>
  <si>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</si>
  <si>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</si>
  <si>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</si>
  <si>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</si>
  <si>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</si>
  <si>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</si>
  <si>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</si>
  <si>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</si>
  <si>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</si>
  <si>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</si>
  <si>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</si>
  <si>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</si>
  <si>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</si>
  <si>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</si>
  <si>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</si>
  <si>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</si>
  <si>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</si>
  <si>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</si>
  <si>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</si>
  <si>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</si>
  <si>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</si>
  <si>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</si>
  <si>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</si>
  <si>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</si>
  <si>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</si>
  <si>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</si>
  <si>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</si>
  <si>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</si>
  <si>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</si>
  <si>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</si>
  <si>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</si>
  <si>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</si>
  <si>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</si>
  <si>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</si>
  <si>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</si>
  <si>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</si>
  <si>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</si>
  <si>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CLIENTES DE TRAYECTORIA</t>
  </si>
  <si>
    <t>N°</t>
  </si>
  <si>
    <t>CLIENTES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</si>
  <si>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</si>
  <si>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</si>
  <si>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</si>
  <si>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</si>
  <si>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</si>
  <si>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</si>
  <si>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</si>
  <si>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ROBERTO KOBUS</t>
  </si>
  <si>
    <t>DESCUENTO COLE 18 (10/09/2021) POR PAGO DE CONTADO</t>
  </si>
  <si>
    <t xml:space="preserve">SOC.FLORES ALMANDOZ NA        </t>
  </si>
  <si>
    <t>FORCAEL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</si>
  <si>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</si>
  <si>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</si>
  <si>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</si>
  <si>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</si>
  <si>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</si>
  <si>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</si>
  <si>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</si>
  <si>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</si>
  <si>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</si>
  <si>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</si>
  <si>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</si>
  <si>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</si>
  <si>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</si>
  <si>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</si>
  <si>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</si>
  <si>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</si>
  <si>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</si>
  <si>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</si>
  <si>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</si>
  <si>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</si>
  <si>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</si>
  <si>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MARISOL DURAN</t>
  </si>
  <si>
    <t>BOUTIQUE LA HERRADURA</t>
  </si>
  <si>
    <t xml:space="preserve">BIO MEDIO FOCALIZADO  PINZAS LATERAL  BOL. TRAS.  TAPETAS </t>
  </si>
  <si>
    <t>BIO CON FOCALIZADO BOTENES DE AJUSTE EN PRETINA TRASERA</t>
  </si>
  <si>
    <r>
      <t xml:space="preserve">BIO MEDIO FOCALIZADO  BOLSILLO </t>
    </r>
    <r>
      <rPr>
        <b/>
        <u/>
        <sz val="10"/>
        <rFont val="Arial"/>
        <family val="2"/>
      </rPr>
      <t>RELOJERO CON  TEPETA</t>
    </r>
    <r>
      <rPr>
        <sz val="10"/>
        <rFont val="Arial"/>
        <family val="2"/>
      </rPr>
      <t xml:space="preserve">  3 PINZAS </t>
    </r>
  </si>
  <si>
    <t>4487-60</t>
  </si>
  <si>
    <t>SIN TACHAS RETENCIONES  LATERALES</t>
  </si>
  <si>
    <t xml:space="preserve">TACHAS EN PRETINA  RETENCIONES LATERALES </t>
  </si>
  <si>
    <t>EX   4329</t>
  </si>
  <si>
    <r>
      <t xml:space="preserve">GRAVILLLADO BIO MEDIO CABABILLITO ROJO PASADOR  TRASERO  EN  </t>
    </r>
    <r>
      <rPr>
        <b/>
        <sz val="11"/>
        <rFont val="Arial"/>
        <family val="2"/>
      </rPr>
      <t>A</t>
    </r>
  </si>
  <si>
    <t>EX    4333</t>
  </si>
  <si>
    <t>BIO OSCURO FOCALIZADO TENUE PASADORES ANCHOS BOLS. TRAS. CORTES</t>
  </si>
  <si>
    <t>BIO MEDIO FOCALIZADO  RELOJEROS  OJAL  ECO  CUERO EN VISTAS</t>
  </si>
  <si>
    <r>
      <t>BIO MEDIO  CIERRE EN VISTA BOLSILLO RELOJERO NORMAL</t>
    </r>
    <r>
      <rPr>
        <b/>
        <sz val="9"/>
        <rFont val="Arial"/>
        <family val="2"/>
      </rPr>
      <t xml:space="preserve"> </t>
    </r>
    <r>
      <rPr>
        <b/>
        <u/>
        <sz val="9"/>
        <rFont val="Arial"/>
        <family val="2"/>
      </rPr>
      <t xml:space="preserve">PASADORE EN  </t>
    </r>
    <r>
      <rPr>
        <b/>
        <u/>
        <sz val="10"/>
        <rFont val="Arial"/>
        <family val="2"/>
      </rPr>
      <t>X</t>
    </r>
  </si>
  <si>
    <t xml:space="preserve">SOBRE  TEÑIDO EN CALIPSO   RAYAS </t>
  </si>
  <si>
    <t>4429-09</t>
  </si>
  <si>
    <t xml:space="preserve">VERDE PISTACHO   BOLSILLO RELOJERO DE TOPE ATRAQUES </t>
  </si>
  <si>
    <t>4429-04</t>
  </si>
  <si>
    <t xml:space="preserve">CAFE   BOLSILLO RELOJERO DE TOPE ATRAQUES </t>
  </si>
  <si>
    <t>4429-06</t>
  </si>
  <si>
    <t xml:space="preserve">BEIGE   BOLSILLO RELOJERO DE TOPE ATRAQUES </t>
  </si>
  <si>
    <t>4429-24</t>
  </si>
  <si>
    <t xml:space="preserve">ROJO   BOLSILLO RELOJERO DE TOPE ATRAQUES </t>
  </si>
  <si>
    <t>4429-38</t>
  </si>
  <si>
    <t xml:space="preserve">OSTRA  BOLSILLO RELOJERO DE TOPE ATRAQUES </t>
  </si>
  <si>
    <t>4457-24</t>
  </si>
  <si>
    <t>ROJO     PRETINA TRENSADA</t>
  </si>
  <si>
    <t xml:space="preserve">LUNARES  COLOR CAFÉ DOBLE  RELOJERO DE TOPE </t>
  </si>
  <si>
    <t xml:space="preserve">LUNARES   COLOR BEIGE DOBLE  RELOJERO DE TOPE </t>
  </si>
  <si>
    <t>LUNARES   COLOR VERDE MENTA  DOBLE RELOJERO</t>
  </si>
  <si>
    <t>LUNARES    COLOR ROJO DOBLE RELOJERO</t>
  </si>
  <si>
    <t>4493-01</t>
  </si>
  <si>
    <t>AMARILLO   RAYAS</t>
  </si>
  <si>
    <t>CASACA  NAPOLEON   BLACK</t>
  </si>
  <si>
    <t>CASACA  NAPOLEON   BLUE</t>
  </si>
  <si>
    <t>4415-01</t>
  </si>
  <si>
    <t>4415-00</t>
  </si>
  <si>
    <t>CASACA   OVERSIDE DOBLE BOLSILLOS  PACHES   TAPETAS</t>
  </si>
  <si>
    <t>4426-00</t>
  </si>
  <si>
    <t>4426-01</t>
  </si>
  <si>
    <t>NEGRO  FOCALIZADO CIERRE EN VISTA PASADORES DELANTEROS EN  X  PUSH IN PUSH UP</t>
  </si>
  <si>
    <t>4414-00</t>
  </si>
  <si>
    <t>4456-60</t>
  </si>
  <si>
    <t>4456-00</t>
  </si>
  <si>
    <t>BIO MEDIO FOCALIZADO TENUE  RELOJERO CON PLACA BOLSILLOS OVALADOS TRASEROS SIN BASTA</t>
  </si>
  <si>
    <t>4421-00</t>
  </si>
  <si>
    <t>4421-01</t>
  </si>
  <si>
    <t xml:space="preserve">GRIS  BOLSILLO RELOJERO  3 PINZAS </t>
  </si>
  <si>
    <t xml:space="preserve">NEGRO  BOLSILLO  RELOJERO 3 PINAS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</si>
</sst>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[$$-340A]\ #,##0"/>
    <numFmt numFmtId="165" formatCode="&quot;$&quot;#,##0"/>
    <numFmt numFmtId="166" formatCode="_-* #,##0_-;\-* #,##0_-;_-* &quot;-&quot;??_-;_-@_-"/>
    <numFmt numFmtId="167" formatCode="&quot;$&quot;\ #,##0"/>
    <numFmt numFmtId="168" formatCode="dd/mmmm/yyyy"/>
    <numFmt numFmtId="169" formatCode="_-* #,##0.00\ _€_-;\-* #,##0.00\ _€_-;_-* &quot;-&quot;??\ _€_-;_-@_-"/>
    <numFmt numFmtId="170" formatCode="_-* #,##0.00\ &quot;€&quot;_-;\-* #,##0.00\ &quot;€&quot;_-;_-* &quot;-&quot;??\ &quot;€&quot;_-;_-@_-"/>
    <numFmt numFmtId="171" formatCode="_-&quot;$&quot;\ * #,##0.00_-;\-&quot;$&quot;\ * #,##0.00_-;_-&quot;$&quot;\ * &quot;-&quot;??_-;_-@_-"/>
  </numFmts>
  <fonts count="6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Calibri"/>
      <family val="2"/>
    </font>
    <font>
      <b/>
      <sz val="11"/>
      <color theme="1"/>
      <name val="Aptos Display"/>
      <family val="2"/>
    </font>
    <font>
      <b/>
      <sz val="11"/>
      <color rgb="FFFF0000"/>
      <name val="Aptos Display"/>
      <family val="2"/>
    </font>
    <font>
      <b/>
      <sz val="10"/>
      <color rgb="FF222222"/>
      <name val="Calibri"/>
      <family val="2"/>
      <scheme val="minor"/>
    </font>
    <font>
      <b/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BFEDE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/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</borders>
  <cellStyleXfs count="10">
    <xf numFmtId="0" fontId="0" fillId="0" borderId="0"/>
    <xf numFmtId="0" fontId="12" fillId="0" borderId="0">
      <alignment vertical="top"/>
      <protection locked="0"/>
    </xf>
    <xf numFmtId="169" fontId="59" fillId="0" borderId="0"/>
    <xf numFmtId="170" fontId="59" fillId="0" borderId="0"/>
    <xf numFmtId="171" fontId="11" fillId="0" borderId="0"/>
    <xf numFmtId="0" fontId="59" fillId="0" borderId="0"/>
    <xf numFmtId="0" fontId="59" fillId="0" borderId="0"/>
    <xf numFmtId="9" fontId="59" fillId="0" borderId="0"/>
    <xf numFmtId="42" fontId="59" fillId="0" borderId="0"/>
    <xf numFmtId="41" fontId="59" fillId="0" borderId="0"/>
  </cellStyleXfs>
  <cellXfs count="468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164" fontId="9" fillId="0" borderId="4" xfId="3" applyNumberFormat="1" applyFont="1" applyBorder="1" applyAlignment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3" fillId="0" borderId="0" xfId="0" applyFont="1" applyAlignment="1" applyProtection="1">
      <alignment vertical="center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center" vertical="center"/>
      <protection locked="0"/>
    </xf>
    <xf numFmtId="164" fontId="8" fillId="4" borderId="3" xfId="0" applyNumberFormat="1" applyFont="1" applyFill="1" applyBorder="1" applyAlignment="1">
      <alignment horizontal="center" vertical="center"/>
    </xf>
    <xf numFmtId="0" fontId="14" fillId="0" borderId="0" xfId="0" applyFont="1"/>
    <xf numFmtId="0" fontId="8" fillId="0" borderId="3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/>
    <xf numFmtId="0" fontId="15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vertical="center" wrapText="1"/>
    </xf>
    <xf numFmtId="165" fontId="3" fillId="0" borderId="0" xfId="0" applyNumberFormat="1" applyFont="1" applyAlignment="1" applyProtection="1">
      <alignment vertical="center"/>
      <protection locked="0"/>
    </xf>
    <xf numFmtId="0" fontId="15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center"/>
    </xf>
    <xf numFmtId="0" fontId="26" fillId="0" borderId="0" xfId="0" applyFont="1"/>
    <xf numFmtId="9" fontId="1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7" fillId="7" borderId="3" xfId="0" applyFont="1" applyFill="1" applyBorder="1" applyAlignment="1">
      <alignment horizontal="center"/>
    </xf>
    <xf numFmtId="0" fontId="26" fillId="7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9" fontId="0" fillId="0" borderId="3" xfId="0" applyNumberFormat="1" applyBorder="1" applyAlignment="1">
      <alignment horizontal="center"/>
    </xf>
    <xf numFmtId="0" fontId="1" fillId="0" borderId="3" xfId="0" applyFont="1" applyBorder="1"/>
    <xf numFmtId="0" fontId="0" fillId="0" borderId="15" xfId="0" applyBorder="1" applyAlignment="1">
      <alignment horizontal="center"/>
    </xf>
    <xf numFmtId="0" fontId="1" fillId="0" borderId="15" xfId="0" applyFont="1" applyBorder="1"/>
    <xf numFmtId="9" fontId="0" fillId="0" borderId="0" xfId="0" applyNumberFormat="1" applyAlignment="1">
      <alignment horizontal="center"/>
    </xf>
    <xf numFmtId="0" fontId="8" fillId="3" borderId="11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 applyProtection="1">
      <alignment horizontal="center" vertical="center"/>
      <protection locked="0"/>
    </xf>
    <xf numFmtId="0" fontId="8" fillId="3" borderId="13" xfId="0" applyFont="1" applyFill="1" applyBorder="1" applyAlignment="1" applyProtection="1">
      <alignment horizontal="center" vertical="center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164" fontId="8" fillId="4" borderId="11" xfId="0" applyNumberFormat="1" applyFont="1" applyFill="1" applyBorder="1" applyAlignment="1">
      <alignment horizontal="center" vertical="center"/>
    </xf>
    <xf numFmtId="164" fontId="9" fillId="0" borderId="18" xfId="3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14" xfId="0" applyFont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9" xfId="0" applyFont="1" applyFill="1" applyBorder="1" applyAlignment="1" applyProtection="1">
      <alignment horizontal="center" vertical="center"/>
      <protection locked="0"/>
    </xf>
    <xf numFmtId="164" fontId="8" fillId="4" borderId="9" xfId="0" applyNumberFormat="1" applyFont="1" applyFill="1" applyBorder="1" applyAlignment="1">
      <alignment horizontal="center" vertical="center"/>
    </xf>
    <xf numFmtId="164" fontId="9" fillId="0" borderId="10" xfId="3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9" fillId="0" borderId="0" xfId="0" applyFont="1"/>
    <xf numFmtId="0" fontId="16" fillId="0" borderId="0" xfId="0" applyFont="1"/>
    <xf numFmtId="0" fontId="15" fillId="0" borderId="20" xfId="0" applyFont="1" applyBorder="1" applyAlignment="1">
      <alignment vertical="center" wrapText="1"/>
    </xf>
    <xf numFmtId="0" fontId="15" fillId="0" borderId="20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 wrapText="1"/>
    </xf>
    <xf numFmtId="0" fontId="15" fillId="0" borderId="20" xfId="0" applyFont="1" applyBorder="1" applyAlignment="1">
      <alignment vertical="center"/>
    </xf>
    <xf numFmtId="0" fontId="15" fillId="0" borderId="20" xfId="0" applyFont="1" applyBorder="1" applyAlignment="1">
      <alignment vertical="top"/>
    </xf>
    <xf numFmtId="0" fontId="15" fillId="0" borderId="20" xfId="0" applyFont="1" applyBorder="1" applyAlignment="1">
      <alignment horizontal="center" vertical="top"/>
    </xf>
    <xf numFmtId="0" fontId="15" fillId="0" borderId="20" xfId="0" applyFont="1" applyBorder="1" applyAlignment="1">
      <alignment horizontal="left" vertical="center"/>
    </xf>
    <xf numFmtId="16" fontId="15" fillId="0" borderId="20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left" vertical="center" wrapText="1"/>
    </xf>
    <xf numFmtId="0" fontId="20" fillId="0" borderId="20" xfId="1" applyFont="1" applyBorder="1" applyAlignment="1" applyProtection="1">
      <alignment vertical="center"/>
    </xf>
    <xf numFmtId="166" fontId="15" fillId="0" borderId="20" xfId="2" applyNumberFormat="1" applyFont="1" applyBorder="1" applyAlignment="1">
      <alignment horizontal="center" vertical="center"/>
    </xf>
    <xf numFmtId="166" fontId="16" fillId="0" borderId="20" xfId="2" applyNumberFormat="1" applyFont="1" applyBorder="1" applyAlignment="1">
      <alignment vertical="center" wrapText="1"/>
    </xf>
    <xf numFmtId="0" fontId="15" fillId="2" borderId="0" xfId="0" applyFont="1" applyFill="1" applyAlignment="1">
      <alignment horizontal="left" vertical="center"/>
    </xf>
    <xf numFmtId="166" fontId="15" fillId="0" borderId="20" xfId="2" applyNumberFormat="1" applyFont="1" applyBorder="1" applyAlignment="1">
      <alignment horizontal="left" vertical="center"/>
    </xf>
    <xf numFmtId="9" fontId="15" fillId="0" borderId="20" xfId="0" applyNumberFormat="1" applyFont="1" applyBorder="1" applyAlignment="1">
      <alignment horizontal="center" vertical="center"/>
    </xf>
    <xf numFmtId="0" fontId="18" fillId="0" borderId="20" xfId="1" applyFont="1" applyBorder="1" applyAlignment="1" applyProtection="1">
      <alignment horizontal="left" vertical="center"/>
    </xf>
    <xf numFmtId="0" fontId="20" fillId="0" borderId="20" xfId="1" applyFont="1" applyBorder="1" applyAlignment="1" applyProtection="1">
      <alignment horizontal="left" vertical="center"/>
    </xf>
    <xf numFmtId="0" fontId="31" fillId="0" borderId="20" xfId="0" applyFont="1" applyBorder="1" applyAlignment="1">
      <alignment horizontal="left"/>
    </xf>
    <xf numFmtId="0" fontId="17" fillId="4" borderId="20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left" vertical="center"/>
    </xf>
    <xf numFmtId="0" fontId="17" fillId="4" borderId="20" xfId="0" applyFont="1" applyFill="1" applyBorder="1" applyAlignment="1">
      <alignment horizontal="left" vertical="center" wrapText="1"/>
    </xf>
    <xf numFmtId="0" fontId="15" fillId="0" borderId="21" xfId="0" applyFont="1" applyBorder="1" applyAlignment="1">
      <alignment vertical="top"/>
    </xf>
    <xf numFmtId="0" fontId="17" fillId="4" borderId="22" xfId="0" applyFont="1" applyFill="1" applyBorder="1" applyAlignment="1">
      <alignment horizontal="center" vertical="center" wrapText="1"/>
    </xf>
    <xf numFmtId="3" fontId="17" fillId="4" borderId="22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30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 wrapText="1"/>
    </xf>
    <xf numFmtId="0" fontId="30" fillId="2" borderId="0" xfId="0" applyFont="1" applyFill="1"/>
    <xf numFmtId="0" fontId="15" fillId="0" borderId="21" xfId="0" applyFont="1" applyBorder="1" applyAlignment="1">
      <alignment horizontal="center" vertical="top"/>
    </xf>
    <xf numFmtId="9" fontId="17" fillId="4" borderId="22" xfId="7" applyFont="1" applyFill="1" applyBorder="1" applyAlignment="1">
      <alignment horizontal="center" vertical="center" wrapText="1"/>
    </xf>
    <xf numFmtId="9" fontId="15" fillId="2" borderId="0" xfId="7" applyFont="1" applyFill="1" applyAlignment="1">
      <alignment horizontal="center"/>
    </xf>
    <xf numFmtId="9" fontId="15" fillId="0" borderId="21" xfId="7" applyFont="1" applyBorder="1" applyAlignment="1">
      <alignment horizontal="center" vertical="top"/>
    </xf>
    <xf numFmtId="9" fontId="15" fillId="0" borderId="20" xfId="7" applyFont="1" applyBorder="1" applyAlignment="1">
      <alignment horizontal="center" vertical="top"/>
    </xf>
    <xf numFmtId="1" fontId="30" fillId="2" borderId="0" xfId="7" applyNumberFormat="1" applyFont="1" applyFill="1" applyAlignment="1">
      <alignment horizontal="center" vertical="center" wrapText="1"/>
    </xf>
    <xf numFmtId="165" fontId="15" fillId="2" borderId="0" xfId="0" applyNumberFormat="1" applyFont="1" applyFill="1"/>
    <xf numFmtId="165" fontId="17" fillId="4" borderId="22" xfId="3" applyNumberFormat="1" applyFont="1" applyFill="1" applyBorder="1" applyAlignment="1">
      <alignment horizontal="center" vertical="center" wrapText="1"/>
    </xf>
    <xf numFmtId="165" fontId="15" fillId="0" borderId="21" xfId="0" applyNumberFormat="1" applyFont="1" applyBorder="1" applyAlignment="1">
      <alignment vertical="top"/>
    </xf>
    <xf numFmtId="165" fontId="15" fillId="0" borderId="20" xfId="0" applyNumberFormat="1" applyFont="1" applyBorder="1" applyAlignment="1">
      <alignment vertical="top"/>
    </xf>
    <xf numFmtId="1" fontId="30" fillId="2" borderId="0" xfId="0" applyNumberFormat="1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/>
    </xf>
    <xf numFmtId="1" fontId="15" fillId="0" borderId="21" xfId="0" applyNumberFormat="1" applyFont="1" applyBorder="1" applyAlignment="1">
      <alignment horizontal="center" vertical="top"/>
    </xf>
    <xf numFmtId="1" fontId="15" fillId="0" borderId="20" xfId="0" applyNumberFormat="1" applyFont="1" applyBorder="1" applyAlignment="1">
      <alignment horizontal="center" vertical="top"/>
    </xf>
    <xf numFmtId="1" fontId="32" fillId="6" borderId="22" xfId="0" applyNumberFormat="1" applyFont="1" applyFill="1" applyBorder="1" applyAlignment="1">
      <alignment horizontal="center" vertical="center" wrapText="1"/>
    </xf>
    <xf numFmtId="1" fontId="30" fillId="2" borderId="0" xfId="0" applyNumberFormat="1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/>
    </xf>
    <xf numFmtId="0" fontId="3" fillId="2" borderId="27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39" xfId="0" applyFont="1" applyFill="1" applyBorder="1" applyAlignment="1" applyProtection="1">
      <alignment vertical="center"/>
      <protection locked="0"/>
    </xf>
    <xf numFmtId="0" fontId="8" fillId="0" borderId="20" xfId="0" applyFont="1" applyBorder="1" applyAlignment="1">
      <alignment horizontal="center" vertical="center"/>
    </xf>
    <xf numFmtId="0" fontId="8" fillId="0" borderId="20" xfId="0" applyFont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4" fontId="9" fillId="0" borderId="49" xfId="3" applyNumberFormat="1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6" xfId="0" applyFont="1" applyBorder="1" applyAlignment="1" applyProtection="1">
      <alignment horizontal="center" vertical="center"/>
      <protection locked="0"/>
    </xf>
    <xf numFmtId="0" fontId="8" fillId="3" borderId="57" xfId="0" applyFont="1" applyFill="1" applyBorder="1" applyAlignment="1" applyProtection="1">
      <alignment horizontal="center" vertical="center"/>
      <protection locked="0"/>
    </xf>
    <xf numFmtId="0" fontId="8" fillId="3" borderId="56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>
      <alignment horizontal="center" vertical="center"/>
    </xf>
    <xf numFmtId="0" fontId="8" fillId="0" borderId="16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164" fontId="8" fillId="10" borderId="20" xfId="0" applyNumberFormat="1" applyFont="1" applyFill="1" applyBorder="1" applyAlignment="1">
      <alignment horizontal="center" vertical="center"/>
    </xf>
    <xf numFmtId="0" fontId="4" fillId="0" borderId="69" xfId="0" applyFont="1" applyBorder="1" applyAlignment="1" applyProtection="1">
      <alignment horizontal="right" vertical="center" indent="1"/>
      <protection locked="0"/>
    </xf>
    <xf numFmtId="0" fontId="4" fillId="0" borderId="71" xfId="0" applyFont="1" applyBorder="1" applyAlignment="1" applyProtection="1">
      <alignment horizontal="right" vertical="center" indent="1"/>
      <protection locked="0"/>
    </xf>
    <xf numFmtId="0" fontId="4" fillId="0" borderId="73" xfId="0" applyFont="1" applyBorder="1" applyAlignment="1" applyProtection="1">
      <alignment horizontal="right" vertical="center" indent="1"/>
      <protection locked="0"/>
    </xf>
    <xf numFmtId="167" fontId="4" fillId="2" borderId="6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1" xfId="7" applyFont="1" applyFill="1" applyBorder="1" applyAlignment="1" applyProtection="1">
      <alignment horizontal="center" vertical="center"/>
      <protection locked="0"/>
    </xf>
    <xf numFmtId="0" fontId="36" fillId="9" borderId="42" xfId="0" applyFont="1" applyFill="1" applyBorder="1" applyAlignment="1" applyProtection="1">
      <alignment horizontal="center" vertical="center" wrapText="1"/>
      <protection locked="0"/>
    </xf>
    <xf numFmtId="0" fontId="36" fillId="9" borderId="34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3" fillId="0" borderId="0" xfId="1" applyFont="1" applyAlignment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47" xfId="0" applyFont="1" applyFill="1" applyBorder="1" applyAlignment="1" applyProtection="1">
      <alignment horizontal="center" vertical="center"/>
      <protection locked="0"/>
    </xf>
    <xf numFmtId="0" fontId="10" fillId="12" borderId="50" xfId="0" applyFont="1" applyFill="1" applyBorder="1" applyAlignment="1" applyProtection="1">
      <alignment horizontal="center" vertical="center"/>
      <protection locked="0"/>
    </xf>
    <xf numFmtId="0" fontId="10" fillId="12" borderId="54" xfId="0" applyFont="1" applyFill="1" applyBorder="1" applyAlignment="1" applyProtection="1">
      <alignment horizontal="center" vertical="center"/>
      <protection locked="0"/>
    </xf>
    <xf numFmtId="0" fontId="10" fillId="12" borderId="55" xfId="0" applyFont="1" applyFill="1" applyBorder="1" applyAlignment="1" applyProtection="1">
      <alignment horizontal="center" vertical="center"/>
      <protection locked="0"/>
    </xf>
    <xf numFmtId="0" fontId="10" fillId="12" borderId="48" xfId="0" applyFont="1" applyFill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0" fontId="37" fillId="5" borderId="20" xfId="0" applyFont="1" applyFill="1" applyBorder="1" applyAlignment="1">
      <alignment horizontal="center" vertical="center" wrapText="1"/>
    </xf>
    <xf numFmtId="0" fontId="37" fillId="5" borderId="20" xfId="0" applyFont="1" applyFill="1" applyBorder="1" applyAlignment="1">
      <alignment horizontal="center" vertical="center"/>
    </xf>
    <xf numFmtId="0" fontId="38" fillId="2" borderId="75" xfId="0" applyFont="1" applyFill="1" applyBorder="1" applyAlignment="1">
      <alignment horizontal="left" wrapText="1"/>
    </xf>
    <xf numFmtId="0" fontId="38" fillId="2" borderId="76" xfId="0" applyFont="1" applyFill="1" applyBorder="1" applyAlignment="1">
      <alignment horizontal="left" wrapText="1"/>
    </xf>
    <xf numFmtId="42" fontId="39" fillId="13" borderId="77" xfId="8" applyFont="1" applyFill="1" applyBorder="1" applyAlignment="1">
      <alignment horizontal="right"/>
    </xf>
    <xf numFmtId="0" fontId="38" fillId="2" borderId="7" xfId="0" applyFont="1" applyFill="1" applyBorder="1" applyAlignment="1">
      <alignment horizontal="left" wrapText="1"/>
    </xf>
    <xf numFmtId="0" fontId="38" fillId="2" borderId="3" xfId="0" applyFont="1" applyFill="1" applyBorder="1" applyAlignment="1">
      <alignment horizontal="left" wrapText="1"/>
    </xf>
    <xf numFmtId="42" fontId="39" fillId="13" borderId="78" xfId="8" applyFont="1" applyFill="1" applyBorder="1" applyAlignment="1">
      <alignment horizontal="right"/>
    </xf>
    <xf numFmtId="0" fontId="17" fillId="2" borderId="3" xfId="0" applyFont="1" applyFill="1" applyBorder="1" applyAlignment="1">
      <alignment horizontal="left" wrapText="1"/>
    </xf>
    <xf numFmtId="0" fontId="38" fillId="2" borderId="79" xfId="0" applyFont="1" applyFill="1" applyBorder="1" applyAlignment="1">
      <alignment horizontal="left" wrapText="1"/>
    </xf>
    <xf numFmtId="0" fontId="38" fillId="2" borderId="80" xfId="0" applyFont="1" applyFill="1" applyBorder="1" applyAlignment="1">
      <alignment horizontal="left" wrapText="1"/>
    </xf>
    <xf numFmtId="42" fontId="39" fillId="13" borderId="81" xfId="8" applyFont="1" applyFill="1" applyBorder="1" applyAlignment="1">
      <alignment horizontal="right"/>
    </xf>
    <xf numFmtId="0" fontId="38" fillId="2" borderId="82" xfId="0" applyFont="1" applyFill="1" applyBorder="1" applyAlignment="1">
      <alignment horizontal="left" wrapText="1"/>
    </xf>
    <xf numFmtId="0" fontId="38" fillId="2" borderId="83" xfId="0" applyFont="1" applyFill="1" applyBorder="1" applyAlignment="1">
      <alignment horizontal="left" wrapText="1"/>
    </xf>
    <xf numFmtId="0" fontId="38" fillId="2" borderId="11" xfId="0" applyFont="1" applyFill="1" applyBorder="1" applyAlignment="1">
      <alignment horizontal="left" wrapText="1"/>
    </xf>
    <xf numFmtId="42" fontId="39" fillId="13" borderId="84" xfId="8" applyFont="1" applyFill="1" applyBorder="1" applyAlignment="1">
      <alignment horizontal="right"/>
    </xf>
    <xf numFmtId="0" fontId="38" fillId="2" borderId="85" xfId="0" applyFont="1" applyFill="1" applyBorder="1" applyAlignment="1">
      <alignment horizontal="left" wrapText="1"/>
    </xf>
    <xf numFmtId="0" fontId="38" fillId="2" borderId="86" xfId="0" applyFont="1" applyFill="1" applyBorder="1" applyAlignment="1">
      <alignment horizontal="left" wrapText="1"/>
    </xf>
    <xf numFmtId="0" fontId="38" fillId="2" borderId="87" xfId="0" applyFont="1" applyFill="1" applyBorder="1" applyAlignment="1">
      <alignment horizontal="left" wrapText="1"/>
    </xf>
    <xf numFmtId="0" fontId="38" fillId="2" borderId="88" xfId="0" applyFont="1" applyFill="1" applyBorder="1" applyAlignment="1">
      <alignment horizontal="left" wrapText="1"/>
    </xf>
    <xf numFmtId="0" fontId="38" fillId="2" borderId="89" xfId="0" applyFont="1" applyFill="1" applyBorder="1" applyAlignment="1">
      <alignment horizontal="left" wrapText="1"/>
    </xf>
    <xf numFmtId="0" fontId="38" fillId="2" borderId="90" xfId="0" applyFont="1" applyFill="1" applyBorder="1" applyAlignment="1">
      <alignment horizontal="left" wrapText="1"/>
    </xf>
    <xf numFmtId="42" fontId="39" fillId="13" borderId="91" xfId="8" applyFont="1" applyFill="1" applyBorder="1" applyAlignment="1">
      <alignment horizontal="right"/>
    </xf>
    <xf numFmtId="0" fontId="38" fillId="2" borderId="12" xfId="0" applyFont="1" applyFill="1" applyBorder="1" applyAlignment="1">
      <alignment horizontal="left" wrapText="1"/>
    </xf>
    <xf numFmtId="0" fontId="17" fillId="2" borderId="9" xfId="0" applyFont="1" applyFill="1" applyBorder="1" applyAlignment="1">
      <alignment horizontal="left" wrapText="1"/>
    </xf>
    <xf numFmtId="0" fontId="38" fillId="2" borderId="9" xfId="0" applyFont="1" applyFill="1" applyBorder="1" applyAlignment="1">
      <alignment horizontal="left" wrapText="1"/>
    </xf>
    <xf numFmtId="42" fontId="39" fillId="13" borderId="92" xfId="8" applyFont="1" applyFill="1" applyBorder="1" applyAlignment="1">
      <alignment horizontal="right"/>
    </xf>
    <xf numFmtId="42" fontId="39" fillId="13" borderId="76" xfId="8" applyFont="1" applyFill="1" applyBorder="1" applyAlignment="1">
      <alignment horizontal="right"/>
    </xf>
    <xf numFmtId="42" fontId="39" fillId="13" borderId="3" xfId="8" applyFont="1" applyFill="1" applyBorder="1" applyAlignment="1">
      <alignment horizontal="right"/>
    </xf>
    <xf numFmtId="42" fontId="39" fillId="13" borderId="80" xfId="8" applyFont="1" applyFill="1" applyBorder="1" applyAlignment="1">
      <alignment horizontal="right"/>
    </xf>
    <xf numFmtId="42" fontId="39" fillId="14" borderId="3" xfId="8" applyFont="1" applyFill="1" applyBorder="1" applyAlignment="1">
      <alignment horizontal="right"/>
    </xf>
    <xf numFmtId="0" fontId="2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0" fontId="38" fillId="0" borderId="7" xfId="0" applyFont="1" applyBorder="1" applyAlignment="1">
      <alignment horizontal="left" wrapText="1"/>
    </xf>
    <xf numFmtId="0" fontId="38" fillId="0" borderId="3" xfId="0" applyFont="1" applyBorder="1" applyAlignment="1">
      <alignment horizontal="left" wrapText="1"/>
    </xf>
    <xf numFmtId="42" fontId="39" fillId="0" borderId="3" xfId="8" applyFont="1" applyBorder="1" applyAlignment="1">
      <alignment horizontal="right"/>
    </xf>
    <xf numFmtId="0" fontId="41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wrapText="1"/>
    </xf>
    <xf numFmtId="0" fontId="38" fillId="2" borderId="0" xfId="0" applyFont="1" applyFill="1" applyAlignment="1">
      <alignment horizontal="left" wrapText="1"/>
    </xf>
    <xf numFmtId="0" fontId="38" fillId="2" borderId="104" xfId="0" applyFont="1" applyFill="1" applyBorder="1" applyAlignment="1">
      <alignment horizontal="left" wrapText="1"/>
    </xf>
    <xf numFmtId="0" fontId="38" fillId="2" borderId="105" xfId="0" applyFont="1" applyFill="1" applyBorder="1" applyAlignment="1">
      <alignment horizontal="left" wrapText="1"/>
    </xf>
    <xf numFmtId="42" fontId="39" fillId="13" borderId="106" xfId="8" applyFont="1" applyFill="1" applyBorder="1" applyAlignment="1">
      <alignment horizontal="right"/>
    </xf>
    <xf numFmtId="0" fontId="42" fillId="0" borderId="3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wrapText="1"/>
    </xf>
    <xf numFmtId="0" fontId="38" fillId="14" borderId="3" xfId="0" applyFont="1" applyFill="1" applyBorder="1" applyAlignment="1">
      <alignment horizontal="center" wrapText="1"/>
    </xf>
    <xf numFmtId="0" fontId="43" fillId="2" borderId="26" xfId="0" applyFont="1" applyFill="1" applyBorder="1" applyAlignment="1" applyProtection="1">
      <alignment vertical="center"/>
      <protection locked="0"/>
    </xf>
    <xf numFmtId="0" fontId="43" fillId="2" borderId="30" xfId="0" applyFont="1" applyFill="1" applyBorder="1" applyAlignment="1" applyProtection="1">
      <alignment vertical="center"/>
      <protection locked="0"/>
    </xf>
    <xf numFmtId="0" fontId="7" fillId="12" borderId="46" xfId="0" applyFont="1" applyFill="1" applyBorder="1" applyAlignment="1" applyProtection="1">
      <alignment horizontal="center" vertical="center"/>
      <protection locked="0"/>
    </xf>
    <xf numFmtId="0" fontId="44" fillId="2" borderId="9" xfId="0" applyFont="1" applyFill="1" applyBorder="1" applyAlignment="1">
      <alignment horizontal="center" vertical="center"/>
    </xf>
    <xf numFmtId="0" fontId="44" fillId="2" borderId="3" xfId="0" applyFont="1" applyFill="1" applyBorder="1" applyAlignment="1">
      <alignment horizontal="center" vertical="center"/>
    </xf>
    <xf numFmtId="0" fontId="44" fillId="2" borderId="11" xfId="0" applyFont="1" applyFill="1" applyBorder="1" applyAlignment="1">
      <alignment horizontal="center" vertical="center"/>
    </xf>
    <xf numFmtId="0" fontId="43" fillId="0" borderId="0" xfId="0" applyFont="1" applyAlignment="1" applyProtection="1">
      <alignment vertical="center"/>
      <protection locked="0"/>
    </xf>
    <xf numFmtId="9" fontId="7" fillId="0" borderId="43" xfId="7" applyFont="1" applyBorder="1" applyAlignment="1" applyProtection="1">
      <alignment horizontal="center" vertical="center"/>
      <protection locked="0"/>
    </xf>
    <xf numFmtId="0" fontId="45" fillId="0" borderId="20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1" fontId="45" fillId="0" borderId="20" xfId="0" applyNumberFormat="1" applyFont="1" applyBorder="1" applyAlignment="1">
      <alignment horizontal="center" vertical="center"/>
    </xf>
    <xf numFmtId="0" fontId="0" fillId="16" borderId="0" xfId="0" applyFill="1"/>
    <xf numFmtId="0" fontId="47" fillId="16" borderId="0" xfId="0" applyFont="1" applyFill="1" applyAlignment="1">
      <alignment vertical="center" wrapText="1"/>
    </xf>
    <xf numFmtId="0" fontId="50" fillId="16" borderId="107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0" borderId="107" xfId="0" applyFont="1" applyBorder="1" applyAlignment="1">
      <alignment horizontal="center" vertical="center"/>
    </xf>
    <xf numFmtId="0" fontId="50" fillId="16" borderId="108" xfId="0" applyFont="1" applyFill="1" applyBorder="1" applyAlignment="1">
      <alignment horizontal="center" vertical="center"/>
    </xf>
    <xf numFmtId="0" fontId="51" fillId="0" borderId="43" xfId="0" applyFont="1" applyBorder="1" applyAlignment="1">
      <alignment horizontal="center" vertical="center"/>
    </xf>
    <xf numFmtId="0" fontId="45" fillId="0" borderId="107" xfId="0" applyFont="1" applyBorder="1" applyAlignment="1">
      <alignment horizontal="center" vertical="center"/>
    </xf>
    <xf numFmtId="0" fontId="50" fillId="16" borderId="20" xfId="0" applyFont="1" applyFill="1" applyBorder="1" applyAlignment="1">
      <alignment horizontal="center" vertical="center"/>
    </xf>
    <xf numFmtId="0" fontId="50" fillId="16" borderId="51" xfId="0" applyFont="1" applyFill="1" applyBorder="1" applyAlignment="1">
      <alignment horizontal="center" vertical="center"/>
    </xf>
    <xf numFmtId="0" fontId="45" fillId="0" borderId="10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/>
    </xf>
    <xf numFmtId="1" fontId="45" fillId="0" borderId="3" xfId="0" applyNumberFormat="1" applyFont="1" applyBorder="1" applyAlignment="1">
      <alignment horizontal="center" vertical="center"/>
    </xf>
    <xf numFmtId="0" fontId="24" fillId="0" borderId="98" xfId="0" applyFont="1" applyBorder="1" applyAlignment="1">
      <alignment horizontal="center"/>
    </xf>
    <xf numFmtId="0" fontId="51" fillId="0" borderId="6" xfId="0" applyFont="1" applyBorder="1" applyAlignment="1">
      <alignment horizontal="center" vertical="center"/>
    </xf>
    <xf numFmtId="1" fontId="51" fillId="0" borderId="5" xfId="0" applyNumberFormat="1" applyFont="1" applyBorder="1" applyAlignment="1">
      <alignment horizontal="center"/>
    </xf>
    <xf numFmtId="1" fontId="51" fillId="0" borderId="102" xfId="0" applyNumberFormat="1" applyFont="1" applyBorder="1" applyAlignment="1">
      <alignment horizontal="center"/>
    </xf>
    <xf numFmtId="0" fontId="51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" fontId="51" fillId="0" borderId="3" xfId="0" applyNumberFormat="1" applyFont="1" applyBorder="1" applyAlignment="1">
      <alignment horizontal="center"/>
    </xf>
    <xf numFmtId="0" fontId="51" fillId="0" borderId="3" xfId="0" applyFont="1" applyBorder="1" applyAlignment="1">
      <alignment horizontal="center" vertical="center"/>
    </xf>
    <xf numFmtId="1" fontId="51" fillId="0" borderId="0" xfId="0" applyNumberFormat="1" applyFont="1" applyAlignment="1">
      <alignment horizontal="center"/>
    </xf>
    <xf numFmtId="0" fontId="52" fillId="5" borderId="20" xfId="0" applyFont="1" applyFill="1" applyBorder="1" applyAlignment="1">
      <alignment horizontal="center" wrapText="1"/>
    </xf>
    <xf numFmtId="0" fontId="51" fillId="0" borderId="20" xfId="0" applyFont="1" applyBorder="1" applyAlignment="1">
      <alignment horizontal="center" wrapText="1"/>
    </xf>
    <xf numFmtId="1" fontId="51" fillId="0" borderId="20" xfId="0" applyNumberFormat="1" applyFont="1" applyBorder="1" applyAlignment="1">
      <alignment horizontal="center"/>
    </xf>
    <xf numFmtId="0" fontId="48" fillId="0" borderId="20" xfId="0" applyFont="1" applyBorder="1" applyAlignment="1">
      <alignment horizontal="center" wrapText="1"/>
    </xf>
    <xf numFmtId="0" fontId="51" fillId="0" borderId="20" xfId="0" applyFont="1" applyBorder="1" applyAlignment="1">
      <alignment horizontal="center"/>
    </xf>
    <xf numFmtId="0" fontId="51" fillId="8" borderId="20" xfId="0" applyFont="1" applyFill="1" applyBorder="1" applyAlignment="1">
      <alignment horizontal="center" wrapText="1"/>
    </xf>
    <xf numFmtId="1" fontId="51" fillId="8" borderId="20" xfId="0" applyNumberFormat="1" applyFont="1" applyFill="1" applyBorder="1" applyAlignment="1">
      <alignment horizontal="center"/>
    </xf>
    <xf numFmtId="0" fontId="53" fillId="2" borderId="93" xfId="0" applyFont="1" applyFill="1" applyBorder="1" applyAlignment="1">
      <alignment horizontal="center" wrapText="1"/>
    </xf>
    <xf numFmtId="0" fontId="53" fillId="2" borderId="6" xfId="0" applyFont="1" applyFill="1" applyBorder="1" applyAlignment="1">
      <alignment horizontal="center" wrapText="1"/>
    </xf>
    <xf numFmtId="0" fontId="53" fillId="2" borderId="94" xfId="0" applyFont="1" applyFill="1" applyBorder="1" applyAlignment="1">
      <alignment horizontal="center" wrapText="1"/>
    </xf>
    <xf numFmtId="0" fontId="53" fillId="2" borderId="95" xfId="0" applyFont="1" applyFill="1" applyBorder="1" applyAlignment="1">
      <alignment horizontal="center" wrapText="1"/>
    </xf>
    <xf numFmtId="0" fontId="53" fillId="2" borderId="0" xfId="0" applyFont="1" applyFill="1" applyAlignment="1">
      <alignment horizontal="center" wrapText="1"/>
    </xf>
    <xf numFmtId="0" fontId="53" fillId="2" borderId="96" xfId="0" applyFont="1" applyFill="1" applyBorder="1" applyAlignment="1">
      <alignment horizontal="center" wrapText="1"/>
    </xf>
    <xf numFmtId="0" fontId="53" fillId="2" borderId="97" xfId="0" applyFont="1" applyFill="1" applyBorder="1" applyAlignment="1">
      <alignment horizontal="center" wrapText="1"/>
    </xf>
    <xf numFmtId="0" fontId="53" fillId="2" borderId="13" xfId="0" applyFont="1" applyFill="1" applyBorder="1" applyAlignment="1">
      <alignment horizontal="center" wrapText="1"/>
    </xf>
    <xf numFmtId="0" fontId="53" fillId="2" borderId="99" xfId="0" applyFont="1" applyFill="1" applyBorder="1" applyAlignment="1">
      <alignment horizontal="center" wrapText="1"/>
    </xf>
    <xf numFmtId="0" fontId="53" fillId="2" borderId="100" xfId="0" applyFont="1" applyFill="1" applyBorder="1" applyAlignment="1">
      <alignment horizontal="center" wrapText="1"/>
    </xf>
    <xf numFmtId="0" fontId="53" fillId="2" borderId="101" xfId="0" applyFont="1" applyFill="1" applyBorder="1" applyAlignment="1">
      <alignment horizontal="center" wrapText="1"/>
    </xf>
    <xf numFmtId="0" fontId="53" fillId="2" borderId="102" xfId="0" applyFont="1" applyFill="1" applyBorder="1" applyAlignment="1">
      <alignment horizontal="center" wrapText="1"/>
    </xf>
    <xf numFmtId="0" fontId="53" fillId="2" borderId="5" xfId="0" applyFont="1" applyFill="1" applyBorder="1" applyAlignment="1">
      <alignment horizontal="center" wrapText="1"/>
    </xf>
    <xf numFmtId="0" fontId="53" fillId="14" borderId="5" xfId="0" applyFont="1" applyFill="1" applyBorder="1" applyAlignment="1">
      <alignment horizontal="center" wrapText="1"/>
    </xf>
    <xf numFmtId="0" fontId="53" fillId="14" borderId="13" xfId="0" applyFont="1" applyFill="1" applyBorder="1" applyAlignment="1">
      <alignment horizontal="center" wrapText="1"/>
    </xf>
    <xf numFmtId="0" fontId="53" fillId="2" borderId="103" xfId="0" applyFont="1" applyFill="1" applyBorder="1" applyAlignment="1">
      <alignment horizontal="center" wrapText="1"/>
    </xf>
    <xf numFmtId="0" fontId="53" fillId="2" borderId="3" xfId="0" applyFont="1" applyFill="1" applyBorder="1" applyAlignment="1">
      <alignment horizontal="center" wrapText="1"/>
    </xf>
    <xf numFmtId="1" fontId="51" fillId="0" borderId="107" xfId="0" applyNumberFormat="1" applyFont="1" applyBorder="1" applyAlignment="1">
      <alignment horizontal="center"/>
    </xf>
    <xf numFmtId="0" fontId="24" fillId="0" borderId="107" xfId="0" applyFont="1" applyBorder="1" applyAlignment="1">
      <alignment horizontal="center" vertical="center"/>
    </xf>
    <xf numFmtId="0" fontId="24" fillId="0" borderId="108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50" fillId="16" borderId="3" xfId="0" applyFont="1" applyFill="1" applyBorder="1" applyAlignment="1">
      <alignment horizontal="center" vertical="center"/>
    </xf>
    <xf numFmtId="0" fontId="51" fillId="17" borderId="107" xfId="0" applyFont="1" applyFill="1" applyBorder="1" applyAlignment="1">
      <alignment horizontal="center" vertical="center"/>
    </xf>
    <xf numFmtId="0" fontId="45" fillId="17" borderId="107" xfId="0" applyFont="1" applyFill="1" applyBorder="1" applyAlignment="1">
      <alignment horizontal="center" vertical="center"/>
    </xf>
    <xf numFmtId="0" fontId="45" fillId="17" borderId="108" xfId="0" applyFont="1" applyFill="1" applyBorder="1" applyAlignment="1">
      <alignment horizontal="center" vertical="center"/>
    </xf>
    <xf numFmtId="1" fontId="45" fillId="17" borderId="3" xfId="0" applyNumberFormat="1" applyFont="1" applyFill="1" applyBorder="1" applyAlignment="1">
      <alignment horizontal="center" vertical="center"/>
    </xf>
    <xf numFmtId="0" fontId="13" fillId="0" borderId="109" xfId="0" applyFont="1" applyBorder="1" applyAlignment="1" applyProtection="1">
      <alignment vertical="center"/>
      <protection locked="0"/>
    </xf>
    <xf numFmtId="0" fontId="3" fillId="0" borderId="110" xfId="0" applyFont="1" applyBorder="1" applyAlignment="1" applyProtection="1">
      <alignment vertical="center"/>
      <protection locked="0"/>
    </xf>
    <xf numFmtId="0" fontId="27" fillId="0" borderId="3" xfId="0" applyFont="1" applyBorder="1" applyAlignment="1">
      <alignment horizontal="center" vertical="center"/>
    </xf>
    <xf numFmtId="0" fontId="55" fillId="2" borderId="76" xfId="0" applyFont="1" applyFill="1" applyBorder="1" applyAlignment="1">
      <alignment horizontal="left" vertical="center"/>
    </xf>
    <xf numFmtId="0" fontId="55" fillId="2" borderId="76" xfId="0" applyFont="1" applyFill="1" applyBorder="1" applyAlignment="1">
      <alignment horizontal="right" vertical="center"/>
    </xf>
    <xf numFmtId="0" fontId="56" fillId="2" borderId="76" xfId="0" applyFont="1" applyFill="1" applyBorder="1" applyAlignment="1">
      <alignment horizontal="center" vertical="center"/>
    </xf>
    <xf numFmtId="0" fontId="56" fillId="2" borderId="3" xfId="0" applyFont="1" applyFill="1" applyBorder="1" applyAlignment="1">
      <alignment horizontal="center" vertical="center"/>
    </xf>
    <xf numFmtId="0" fontId="55" fillId="2" borderId="3" xfId="0" applyFont="1" applyFill="1" applyBorder="1" applyAlignment="1">
      <alignment horizontal="left" vertical="center"/>
    </xf>
    <xf numFmtId="42" fontId="0" fillId="2" borderId="76" xfId="8" applyFont="1" applyFill="1" applyBorder="1"/>
    <xf numFmtId="42" fontId="0" fillId="2" borderId="3" xfId="8" applyFont="1" applyFill="1" applyBorder="1"/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55" fillId="2" borderId="76" xfId="0" applyFont="1" applyFill="1" applyBorder="1" applyAlignment="1">
      <alignment vertical="center"/>
    </xf>
    <xf numFmtId="3" fontId="10" fillId="11" borderId="53" xfId="0" applyNumberFormat="1" applyFont="1" applyFill="1" applyBorder="1" applyAlignment="1">
      <alignment horizontal="center" vertical="center"/>
    </xf>
    <xf numFmtId="3" fontId="10" fillId="11" borderId="20" xfId="0" applyNumberFormat="1" applyFont="1" applyFill="1" applyBorder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43" xfId="0" applyFont="1" applyBorder="1" applyAlignment="1">
      <alignment horizontal="center" vertical="center"/>
    </xf>
    <xf numFmtId="1" fontId="24" fillId="0" borderId="0" xfId="0" applyNumberFormat="1" applyFont="1" applyAlignment="1">
      <alignment horizontal="center"/>
    </xf>
    <xf numFmtId="0" fontId="34" fillId="0" borderId="0" xfId="0" applyFont="1" applyAlignment="1">
      <alignment vertical="center"/>
    </xf>
    <xf numFmtId="0" fontId="34" fillId="0" borderId="39" xfId="0" applyFont="1" applyBorder="1" applyAlignment="1">
      <alignment vertical="center"/>
    </xf>
    <xf numFmtId="0" fontId="3" fillId="2" borderId="32" xfId="0" applyFont="1" applyFill="1" applyBorder="1" applyAlignment="1" applyProtection="1">
      <alignment vertical="center"/>
      <protection locked="0"/>
    </xf>
    <xf numFmtId="0" fontId="3" fillId="2" borderId="40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39" xfId="0" applyFont="1" applyFill="1" applyBorder="1" applyAlignment="1" applyProtection="1">
      <alignment vertical="center"/>
      <protection locked="0"/>
    </xf>
    <xf numFmtId="0" fontId="21" fillId="0" borderId="44" xfId="0" applyFont="1" applyBorder="1" applyAlignment="1" applyProtection="1">
      <alignment vertical="center"/>
      <protection locked="0"/>
    </xf>
    <xf numFmtId="0" fontId="21" fillId="0" borderId="45" xfId="0" applyFont="1" applyBorder="1" applyAlignment="1" applyProtection="1">
      <alignment vertical="center"/>
      <protection locked="0"/>
    </xf>
    <xf numFmtId="0" fontId="5" fillId="0" borderId="59" xfId="0" applyFont="1" applyBorder="1" applyAlignment="1" applyProtection="1">
      <alignment vertical="center"/>
      <protection locked="0"/>
    </xf>
    <xf numFmtId="0" fontId="5" fillId="0" borderId="60" xfId="0" applyFont="1" applyBorder="1" applyAlignment="1" applyProtection="1">
      <alignment vertical="center"/>
      <protection locked="0"/>
    </xf>
    <xf numFmtId="0" fontId="5" fillId="0" borderId="61" xfId="0" applyFont="1" applyBorder="1" applyAlignment="1" applyProtection="1">
      <alignment vertical="center"/>
      <protection locked="0"/>
    </xf>
    <xf numFmtId="0" fontId="10" fillId="0" borderId="66" xfId="0" applyFont="1" applyBorder="1" applyAlignment="1">
      <alignment vertical="center"/>
    </xf>
    <xf numFmtId="0" fontId="10" fillId="0" borderId="67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4" fillId="0" borderId="58" xfId="0" applyFont="1" applyBorder="1" applyAlignment="1" applyProtection="1">
      <alignment vertical="center"/>
      <protection locked="0"/>
    </xf>
    <xf numFmtId="0" fontId="4" fillId="0" borderId="65" xfId="0" applyFont="1" applyBorder="1" applyAlignment="1" applyProtection="1">
      <alignment vertical="center"/>
      <protection locked="0"/>
    </xf>
    <xf numFmtId="0" fontId="5" fillId="0" borderId="5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65" xfId="0" applyFont="1" applyBorder="1" applyAlignment="1">
      <alignment vertical="center"/>
    </xf>
    <xf numFmtId="1" fontId="24" fillId="18" borderId="0" xfId="0" applyNumberFormat="1" applyFont="1" applyFill="1" applyAlignment="1">
      <alignment horizontal="center"/>
    </xf>
    <xf numFmtId="0" fontId="24" fillId="18" borderId="43" xfId="0" applyFont="1" applyFill="1" applyBorder="1" applyAlignment="1">
      <alignment horizontal="center" vertical="center"/>
    </xf>
    <xf numFmtId="1" fontId="24" fillId="19" borderId="0" xfId="0" applyNumberFormat="1" applyFont="1" applyFill="1" applyAlignment="1">
      <alignment horizontal="center"/>
    </xf>
    <xf numFmtId="0" fontId="51" fillId="0" borderId="0" xfId="0" applyFont="1" applyAlignment="1">
      <alignment horizontal="center"/>
    </xf>
    <xf numFmtId="1" fontId="43" fillId="2" borderId="26" xfId="0" applyNumberFormat="1" applyFont="1" applyFill="1" applyBorder="1" applyAlignment="1" applyProtection="1">
      <alignment vertical="center"/>
      <protection locked="0"/>
    </xf>
    <xf numFmtId="1" fontId="43" fillId="2" borderId="30" xfId="0" applyNumberFormat="1" applyFont="1" applyFill="1" applyBorder="1" applyAlignment="1" applyProtection="1">
      <alignment vertical="center"/>
      <protection locked="0"/>
    </xf>
    <xf numFmtId="1" fontId="21" fillId="0" borderId="111" xfId="0" applyNumberFormat="1" applyFont="1" applyBorder="1" applyAlignment="1" applyProtection="1">
      <alignment vertical="center"/>
      <protection locked="0"/>
    </xf>
    <xf numFmtId="1" fontId="7" fillId="12" borderId="52" xfId="0" applyNumberFormat="1" applyFont="1" applyFill="1" applyBorder="1" applyAlignment="1" applyProtection="1">
      <alignment horizontal="center" vertical="center"/>
      <protection locked="0"/>
    </xf>
    <xf numFmtId="1" fontId="8" fillId="0" borderId="20" xfId="0" applyNumberFormat="1" applyFont="1" applyBorder="1" applyAlignment="1">
      <alignment horizontal="center" vertical="center"/>
    </xf>
    <xf numFmtId="1" fontId="44" fillId="2" borderId="9" xfId="0" applyNumberFormat="1" applyFont="1" applyFill="1" applyBorder="1" applyAlignment="1">
      <alignment horizontal="center" vertical="center"/>
    </xf>
    <xf numFmtId="1" fontId="44" fillId="2" borderId="3" xfId="0" applyNumberFormat="1" applyFont="1" applyFill="1" applyBorder="1" applyAlignment="1">
      <alignment horizontal="center" vertical="center"/>
    </xf>
    <xf numFmtId="1" fontId="44" fillId="2" borderId="11" xfId="0" applyNumberFormat="1" applyFont="1" applyFill="1" applyBorder="1" applyAlignment="1">
      <alignment horizontal="center" vertical="center"/>
    </xf>
    <xf numFmtId="1" fontId="4" fillId="0" borderId="58" xfId="0" applyNumberFormat="1" applyFont="1" applyBorder="1" applyAlignment="1" applyProtection="1">
      <alignment vertical="center"/>
      <protection locked="0"/>
    </xf>
    <xf numFmtId="1" fontId="5" fillId="0" borderId="58" xfId="0" applyNumberFormat="1" applyFont="1" applyBorder="1" applyAlignment="1">
      <alignment vertical="center"/>
    </xf>
    <xf numFmtId="1" fontId="5" fillId="0" borderId="59" xfId="0" applyNumberFormat="1" applyFont="1" applyBorder="1" applyAlignment="1" applyProtection="1">
      <alignment vertical="center"/>
      <protection locked="0"/>
    </xf>
    <xf numFmtId="1" fontId="43" fillId="0" borderId="0" xfId="0" applyNumberFormat="1" applyFont="1" applyAlignment="1" applyProtection="1">
      <alignment vertical="center"/>
      <protection locked="0"/>
    </xf>
    <xf numFmtId="0" fontId="8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65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12" xfId="7" applyFont="1" applyBorder="1" applyAlignment="1" applyProtection="1">
      <alignment horizontal="right" vertical="center" indent="1"/>
      <protection locked="0"/>
    </xf>
    <xf numFmtId="165" fontId="35" fillId="0" borderId="70" xfId="3" applyNumberFormat="1" applyFont="1" applyBorder="1" applyAlignment="1">
      <alignment horizontal="right" vertical="center"/>
    </xf>
    <xf numFmtId="165" fontId="35" fillId="0" borderId="114" xfId="3" applyNumberFormat="1" applyFont="1" applyBorder="1" applyAlignment="1">
      <alignment horizontal="right" vertical="center"/>
    </xf>
    <xf numFmtId="165" fontId="35" fillId="0" borderId="113" xfId="3" applyNumberFormat="1" applyFont="1" applyBorder="1" applyAlignment="1">
      <alignment horizontal="right" vertical="center"/>
    </xf>
    <xf numFmtId="165" fontId="35" fillId="0" borderId="72" xfId="3" applyNumberFormat="1" applyFont="1" applyBorder="1" applyAlignment="1">
      <alignment horizontal="right" vertical="center"/>
    </xf>
    <xf numFmtId="165" fontId="35" fillId="0" borderId="74" xfId="3" applyNumberFormat="1" applyFont="1" applyBorder="1" applyAlignment="1">
      <alignment horizontal="right" vertical="center"/>
    </xf>
    <xf numFmtId="0" fontId="57" fillId="20" borderId="3" xfId="0" applyFont="1" applyFill="1" applyBorder="1" applyAlignment="1">
      <alignment horizontal="center"/>
    </xf>
    <xf numFmtId="0" fontId="57" fillId="20" borderId="3" xfId="0" applyFont="1" applyFill="1" applyBorder="1"/>
    <xf numFmtId="0" fontId="57" fillId="20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/>
    </xf>
    <xf numFmtId="0" fontId="57" fillId="0" borderId="3" xfId="0" applyFont="1" applyBorder="1"/>
    <xf numFmtId="0" fontId="57" fillId="0" borderId="3" xfId="0" applyFont="1" applyBorder="1" applyAlignment="1">
      <alignment horizontal="center" vertical="center"/>
    </xf>
    <xf numFmtId="0" fontId="57" fillId="21" borderId="3" xfId="0" applyFont="1" applyFill="1" applyBorder="1" applyAlignment="1">
      <alignment horizontal="center"/>
    </xf>
    <xf numFmtId="0" fontId="57" fillId="21" borderId="3" xfId="0" applyFont="1" applyFill="1" applyBorder="1"/>
    <xf numFmtId="0" fontId="57" fillId="21" borderId="3" xfId="0" applyFont="1" applyFill="1" applyBorder="1" applyAlignment="1">
      <alignment horizontal="center" vertical="center"/>
    </xf>
    <xf numFmtId="0" fontId="27" fillId="15" borderId="3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55" fillId="2" borderId="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8" fillId="23" borderId="3" xfId="0" applyFont="1" applyFill="1" applyBorder="1" applyAlignment="1">
      <alignment horizontal="center" vertical="center"/>
    </xf>
    <xf numFmtId="1" fontId="24" fillId="24" borderId="3" xfId="0" applyNumberFormat="1" applyFont="1" applyFill="1" applyBorder="1" applyAlignment="1">
      <alignment horizontal="center"/>
    </xf>
    <xf numFmtId="0" fontId="27" fillId="24" borderId="3" xfId="0" applyFont="1" applyFill="1" applyBorder="1" applyAlignment="1">
      <alignment horizontal="center" vertical="center"/>
    </xf>
    <xf numFmtId="0" fontId="8" fillId="24" borderId="3" xfId="0" applyFont="1" applyFill="1" applyBorder="1" applyAlignment="1">
      <alignment horizontal="center" vertical="center"/>
    </xf>
    <xf numFmtId="42" fontId="0" fillId="24" borderId="3" xfId="8" applyFont="1" applyFill="1" applyBorder="1"/>
    <xf numFmtId="0" fontId="24" fillId="24" borderId="0" xfId="0" applyFont="1" applyFill="1" applyAlignment="1">
      <alignment horizontal="center" vertical="center"/>
    </xf>
    <xf numFmtId="0" fontId="24" fillId="24" borderId="3" xfId="0" applyFont="1" applyFill="1" applyBorder="1" applyAlignment="1">
      <alignment horizontal="center" vertical="center"/>
    </xf>
    <xf numFmtId="0" fontId="24" fillId="24" borderId="3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15" xfId="0" applyBorder="1"/>
    <xf numFmtId="0" fontId="0" fillId="25" borderId="95" xfId="0" applyFill="1" applyBorder="1"/>
    <xf numFmtId="0" fontId="0" fillId="0" borderId="95" xfId="0" applyBorder="1"/>
    <xf numFmtId="0" fontId="0" fillId="25" borderId="82" xfId="0" applyFill="1" applyBorder="1"/>
    <xf numFmtId="41" fontId="0" fillId="25" borderId="82" xfId="9" applyFont="1" applyFill="1" applyBorder="1"/>
    <xf numFmtId="41" fontId="0" fillId="0" borderId="0" xfId="9" applyFont="1"/>
    <xf numFmtId="10" fontId="0" fillId="25" borderId="82" xfId="7" applyNumberFormat="1" applyFont="1" applyFill="1" applyBorder="1"/>
    <xf numFmtId="14" fontId="0" fillId="25" borderId="82" xfId="0" applyNumberFormat="1" applyFill="1" applyBorder="1"/>
    <xf numFmtId="41" fontId="0" fillId="25" borderId="82" xfId="0" applyNumberFormat="1" applyFill="1" applyBorder="1" applyAlignment="1">
      <alignment horizontal="center" vertical="center"/>
    </xf>
    <xf numFmtId="0" fontId="0" fillId="26" borderId="116" xfId="0" applyFill="1" applyBorder="1"/>
    <xf numFmtId="0" fontId="0" fillId="26" borderId="105" xfId="0" applyFill="1" applyBorder="1"/>
    <xf numFmtId="0" fontId="0" fillId="26" borderId="106" xfId="0" applyFill="1" applyBorder="1"/>
    <xf numFmtId="41" fontId="0" fillId="0" borderId="3" xfId="0" applyNumberFormat="1" applyBorder="1" applyAlignment="1">
      <alignment horizontal="right"/>
    </xf>
    <xf numFmtId="14" fontId="0" fillId="0" borderId="3" xfId="0" applyNumberFormat="1" applyBorder="1" applyAlignment="1">
      <alignment horizontal="center" vertical="center"/>
    </xf>
    <xf numFmtId="41" fontId="0" fillId="0" borderId="3" xfId="9" applyFont="1" applyBorder="1"/>
    <xf numFmtId="41" fontId="0" fillId="0" borderId="0" xfId="0" applyNumberFormat="1" applyAlignment="1">
      <alignment horizontal="right"/>
    </xf>
    <xf numFmtId="0" fontId="27" fillId="19" borderId="11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0" fillId="0" borderId="11" xfId="0" applyFont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65" fillId="5" borderId="20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3" fillId="16" borderId="20" xfId="0" applyFont="1" applyFill="1" applyBorder="1" applyAlignment="1">
      <alignment horizontal="center" vertical="center"/>
    </xf>
    <xf numFmtId="0" fontId="15" fillId="0" borderId="107" xfId="0" applyFont="1" applyBorder="1" applyAlignment="1">
      <alignment horizontal="center" vertical="center"/>
    </xf>
    <xf numFmtId="0" fontId="23" fillId="16" borderId="107" xfId="0" applyFont="1" applyFill="1" applyBorder="1" applyAlignment="1">
      <alignment horizontal="center" vertical="center"/>
    </xf>
    <xf numFmtId="0" fontId="15" fillId="17" borderId="107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63" fillId="27" borderId="3" xfId="0" applyFont="1" applyFill="1" applyBorder="1" applyAlignment="1">
      <alignment horizontal="center" vertical="center"/>
    </xf>
    <xf numFmtId="0" fontId="1" fillId="27" borderId="3" xfId="0" applyFont="1" applyFill="1" applyBorder="1" applyAlignment="1">
      <alignment horizontal="center" vertical="center"/>
    </xf>
    <xf numFmtId="0" fontId="60" fillId="27" borderId="3" xfId="0" applyFont="1" applyFill="1" applyBorder="1" applyAlignment="1">
      <alignment horizontal="center" vertical="center"/>
    </xf>
    <xf numFmtId="0" fontId="24" fillId="27" borderId="3" xfId="0" applyFont="1" applyFill="1" applyBorder="1" applyAlignment="1">
      <alignment horizontal="center"/>
    </xf>
    <xf numFmtId="0" fontId="62" fillId="27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64" fillId="27" borderId="3" xfId="0" applyFont="1" applyFill="1" applyBorder="1" applyAlignment="1">
      <alignment horizontal="center" vertical="center"/>
    </xf>
    <xf numFmtId="0" fontId="61" fillId="27" borderId="3" xfId="0" applyFont="1" applyFill="1" applyBorder="1" applyAlignment="1">
      <alignment horizontal="center" vertical="center"/>
    </xf>
    <xf numFmtId="0" fontId="3" fillId="27" borderId="3" xfId="0" applyFont="1" applyFill="1" applyBorder="1" applyAlignment="1">
      <alignment horizontal="center" vertical="center"/>
    </xf>
    <xf numFmtId="0" fontId="60" fillId="27" borderId="9" xfId="0" applyFont="1" applyFill="1" applyBorder="1" applyAlignment="1">
      <alignment horizontal="center" vertical="center"/>
    </xf>
    <xf numFmtId="0" fontId="51" fillId="27" borderId="3" xfId="0" applyFont="1" applyFill="1" applyBorder="1" applyAlignment="1">
      <alignment horizontal="center"/>
    </xf>
    <xf numFmtId="0" fontId="24" fillId="27" borderId="3" xfId="0" applyFont="1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51" fillId="15" borderId="3" xfId="0" applyFont="1" applyFill="1" applyBorder="1" applyAlignment="1">
      <alignment horizontal="center"/>
    </xf>
    <xf numFmtId="0" fontId="63" fillId="15" borderId="3" xfId="0" applyFont="1" applyFill="1" applyBorder="1" applyAlignment="1">
      <alignment horizontal="center" vertical="center"/>
    </xf>
    <xf numFmtId="0" fontId="60" fillId="27" borderId="0" xfId="0" applyFont="1" applyFill="1" applyAlignment="1">
      <alignment horizontal="center" vertical="center"/>
    </xf>
    <xf numFmtId="0" fontId="24" fillId="27" borderId="0" xfId="0" applyFont="1" applyFill="1" applyAlignment="1">
      <alignment horizontal="center"/>
    </xf>
    <xf numFmtId="0" fontId="22" fillId="0" borderId="23" xfId="0" applyFont="1" applyBorder="1" applyAlignment="1">
      <alignment horizontal="center" vertical="center" wrapText="1"/>
    </xf>
    <xf numFmtId="0" fontId="0" fillId="0" borderId="25" xfId="0" applyBorder="1"/>
    <xf numFmtId="0" fontId="0" fillId="0" borderId="121" xfId="0" applyBorder="1"/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120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3" xfId="0" applyBorder="1" applyProtection="1">
      <protection locked="0"/>
    </xf>
    <xf numFmtId="0" fontId="10" fillId="0" borderId="31" xfId="0" applyFont="1" applyBorder="1" applyAlignment="1">
      <alignment horizontal="center" vertical="center" wrapText="1"/>
    </xf>
    <xf numFmtId="0" fontId="0" fillId="0" borderId="23" xfId="0" applyBorder="1"/>
    <xf numFmtId="0" fontId="0" fillId="0" borderId="31" xfId="0" applyBorder="1"/>
    <xf numFmtId="0" fontId="33" fillId="0" borderId="24" xfId="1" applyFont="1" applyBorder="1" applyAlignment="1">
      <alignment horizontal="center" vertical="center"/>
      <protection locked="0"/>
    </xf>
    <xf numFmtId="3" fontId="36" fillId="9" borderId="124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34" xfId="0" applyBorder="1" applyProtection="1">
      <protection locked="0"/>
    </xf>
    <xf numFmtId="0" fontId="22" fillId="3" borderId="23" xfId="0" applyFont="1" applyFill="1" applyBorder="1" applyAlignment="1" applyProtection="1">
      <alignment horizontal="center" vertical="center" wrapText="1"/>
      <protection locked="0"/>
    </xf>
    <xf numFmtId="0" fontId="0" fillId="0" borderId="25" xfId="0" applyBorder="1" applyProtection="1">
      <protection locked="0"/>
    </xf>
    <xf numFmtId="0" fontId="0" fillId="0" borderId="121" xfId="0" applyBorder="1" applyProtection="1">
      <protection locked="0"/>
    </xf>
    <xf numFmtId="3" fontId="29" fillId="0" borderId="23" xfId="0" applyNumberFormat="1" applyFont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center" vertical="center" wrapText="1"/>
      <protection locked="0"/>
    </xf>
    <xf numFmtId="1" fontId="4" fillId="2" borderId="64" xfId="2" applyNumberFormat="1" applyFont="1" applyFill="1" applyBorder="1" applyAlignment="1" applyProtection="1">
      <alignment horizontal="center" vertical="center"/>
      <protection locked="0"/>
    </xf>
    <xf numFmtId="0" fontId="54" fillId="0" borderId="24" xfId="0" applyFont="1" applyBorder="1" applyAlignment="1" applyProtection="1">
      <alignment horizontal="center" vertical="center"/>
      <protection locked="0"/>
    </xf>
    <xf numFmtId="0" fontId="0" fillId="0" borderId="117" xfId="0" applyBorder="1" applyProtection="1">
      <protection locked="0"/>
    </xf>
    <xf numFmtId="0" fontId="0" fillId="0" borderId="119" xfId="0" applyBorder="1" applyProtection="1">
      <protection locked="0"/>
    </xf>
    <xf numFmtId="0" fontId="36" fillId="9" borderId="37" xfId="0" applyFont="1" applyFill="1" applyBorder="1" applyAlignment="1" applyProtection="1">
      <alignment horizontal="center" vertical="center"/>
      <protection locked="0"/>
    </xf>
    <xf numFmtId="0" fontId="0" fillId="0" borderId="122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0" fontId="8" fillId="0" borderId="24" xfId="0" applyFont="1" applyBorder="1" applyAlignment="1">
      <alignment horizontal="left" vertical="center" indent="1"/>
    </xf>
    <xf numFmtId="0" fontId="0" fillId="0" borderId="24" xfId="0" applyBorder="1"/>
    <xf numFmtId="0" fontId="8" fillId="0" borderId="29" xfId="0" applyFont="1" applyBorder="1" applyAlignment="1">
      <alignment horizontal="left" vertical="center" wrapText="1" indent="1"/>
    </xf>
    <xf numFmtId="0" fontId="0" fillId="0" borderId="28" xfId="0" applyBorder="1"/>
    <xf numFmtId="0" fontId="0" fillId="0" borderId="29" xfId="0" applyBorder="1"/>
    <xf numFmtId="0" fontId="8" fillId="0" borderId="24" xfId="0" applyFont="1" applyBorder="1" applyAlignment="1" applyProtection="1">
      <alignment horizontal="center" vertical="center"/>
      <protection locked="0"/>
    </xf>
    <xf numFmtId="3" fontId="10" fillId="11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8" fillId="0" borderId="24" xfId="0" applyFont="1" applyBorder="1" applyAlignment="1">
      <alignment horizontal="left" vertical="center" wrapText="1" indent="1"/>
    </xf>
    <xf numFmtId="168" fontId="8" fillId="0" borderId="24" xfId="0" applyNumberFormat="1" applyFont="1" applyBorder="1" applyAlignment="1" applyProtection="1">
      <alignment horizontal="center" vertical="center" wrapText="1"/>
      <protection locked="0"/>
    </xf>
    <xf numFmtId="0" fontId="10" fillId="3" borderId="35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3" fontId="36" fillId="9" borderId="37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45" xfId="0" applyFont="1" applyFill="1" applyBorder="1" applyAlignment="1" applyProtection="1">
      <alignment horizontal="center" vertical="center"/>
      <protection locked="0"/>
    </xf>
    <xf numFmtId="0" fontId="0" fillId="0" borderId="123" xfId="0" applyBorder="1" applyProtection="1">
      <protection locked="0"/>
    </xf>
    <xf numFmtId="0" fontId="0" fillId="0" borderId="111" xfId="0" applyBorder="1" applyProtection="1">
      <protection locked="0"/>
    </xf>
    <xf numFmtId="3" fontId="10" fillId="0" borderId="23" xfId="0" applyNumberFormat="1" applyFont="1" applyBorder="1" applyAlignment="1" applyProtection="1">
      <alignment horizontal="right" vertical="center"/>
      <protection locked="0"/>
    </xf>
    <xf numFmtId="0" fontId="0" fillId="0" borderId="118" xfId="0" applyBorder="1" applyProtection="1">
      <protection locked="0"/>
    </xf>
    <xf numFmtId="3" fontId="10" fillId="11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0" fontId="10" fillId="12" borderId="52" xfId="0" applyFont="1" applyFill="1" applyBorder="1" applyAlignment="1" applyProtection="1">
      <alignment horizontal="center" vertical="center"/>
      <protection locked="0"/>
    </xf>
    <xf numFmtId="0" fontId="0" fillId="0" borderId="52" xfId="0" applyBorder="1" applyProtection="1">
      <protection locked="0"/>
    </xf>
    <xf numFmtId="0" fontId="10" fillId="0" borderId="23" xfId="0" applyFont="1" applyBorder="1" applyAlignment="1" applyProtection="1">
      <alignment horizontal="left" vertical="center" indent="1"/>
      <protection locked="0"/>
    </xf>
    <xf numFmtId="16" fontId="8" fillId="0" borderId="24" xfId="0" applyNumberFormat="1" applyFont="1" applyBorder="1" applyAlignment="1" applyProtection="1">
      <alignment horizontal="left" vertical="center" indent="1"/>
      <protection locked="0"/>
    </xf>
    <xf numFmtId="14" fontId="8" fillId="0" borderId="24" xfId="0" applyNumberFormat="1" applyFont="1" applyBorder="1" applyAlignment="1" applyProtection="1">
      <alignment horizontal="left" vertical="center" indent="1"/>
      <protection locked="0"/>
    </xf>
    <xf numFmtId="3" fontId="10" fillId="11" borderId="62" xfId="0" applyNumberFormat="1" applyFont="1" applyFill="1" applyBorder="1" applyAlignment="1">
      <alignment horizontal="center" vertical="center"/>
    </xf>
    <xf numFmtId="0" fontId="0" fillId="0" borderId="62" xfId="0" applyBorder="1"/>
    <xf numFmtId="0" fontId="22" fillId="3" borderId="28" xfId="0" applyFont="1" applyFill="1" applyBorder="1" applyAlignment="1" applyProtection="1">
      <alignment horizontal="center" vertical="center"/>
      <protection locked="0"/>
    </xf>
    <xf numFmtId="0" fontId="0" fillId="0" borderId="27" xfId="0" applyBorder="1" applyProtection="1">
      <protection locked="0"/>
    </xf>
    <xf numFmtId="3" fontId="8" fillId="0" borderId="24" xfId="0" applyNumberFormat="1" applyFont="1" applyBorder="1" applyAlignment="1" applyProtection="1">
      <alignment horizontal="left" vertical="center" indent="1"/>
      <protection locked="0"/>
    </xf>
    <xf numFmtId="3" fontId="22" fillId="3" borderId="23" xfId="0" applyNumberFormat="1" applyFont="1" applyFill="1" applyBorder="1" applyAlignment="1" applyProtection="1">
      <alignment horizontal="center" vertical="center" wrapText="1"/>
      <protection locked="0"/>
    </xf>
    <xf numFmtId="3" fontId="10" fillId="0" borderId="23" xfId="0" applyNumberFormat="1" applyFont="1" applyBorder="1" applyAlignment="1" applyProtection="1">
      <alignment horizontal="left" vertical="center"/>
      <protection locked="0"/>
    </xf>
    <xf numFmtId="0" fontId="10" fillId="3" borderId="125" xfId="0" applyFont="1" applyFill="1" applyBorder="1" applyAlignment="1" applyProtection="1">
      <alignment horizontal="center" vertical="center"/>
      <protection locked="0"/>
    </xf>
    <xf numFmtId="0" fontId="0" fillId="0" borderId="41" xfId="0" applyBorder="1" applyProtection="1">
      <protection locked="0"/>
    </xf>
    <xf numFmtId="0" fontId="28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4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3" displayName="Tabla13423" ref="A3:AC123" totalsRowShown="0" headerRowDxfId="161" dataDxfId="160">
  <autoFilter ref="A3:AC123" xr:uid="{00000000-0009-0000-0100-000001000000}"/>
  <tableColumns count="29">
    <tableColumn id="1" xr3:uid="{00000000-0010-0000-0000-000001000000}" name="RUT" dataDxfId="159" totalsRowDxfId="158"/>
    <tableColumn id="29" xr3:uid="{00000000-0010-0000-0000-00001D000000}" name="RUT2" dataDxfId="157" totalsRowDxfId="156"/>
    <tableColumn id="2" xr3:uid="{00000000-0010-0000-0000-000002000000}" name="Razon Social" dataDxfId="155" totalsRowDxfId="154"/>
    <tableColumn id="3" xr3:uid="{00000000-0010-0000-0000-000003000000}" name="Ciudad" dataDxfId="153" totalsRowDxfId="152"/>
    <tableColumn id="4" xr3:uid="{00000000-0010-0000-0000-000004000000}" name="Direccion" dataDxfId="151" totalsRowDxfId="150"/>
    <tableColumn id="5" xr3:uid="{00000000-0010-0000-0000-000005000000}" name="Fono" dataDxfId="149" totalsRowDxfId="148"/>
    <tableColumn id="6" xr3:uid="{00000000-0010-0000-0000-000006000000}" name="Vendedor" dataDxfId="147" totalsRowDxfId="146"/>
    <tableColumn id="7" xr3:uid="{00000000-0010-0000-0000-000007000000}" name="Correo" dataDxfId="145"/>
    <tableColumn id="8" xr3:uid="{00000000-0010-0000-0000-000008000000}" name="WWW" dataDxfId="144" totalsRowDxfId="143"/>
    <tableColumn id="9" xr3:uid="{00000000-0010-0000-0000-000009000000}" name="Contacto" dataDxfId="142" totalsRowDxfId="141"/>
    <tableColumn id="10" xr3:uid="{00000000-0010-0000-0000-00000A000000}" name="Cargo" dataDxfId="140" totalsRowDxfId="139"/>
    <tableColumn id="11" xr3:uid="{00000000-0010-0000-0000-00000B000000}" name="GRUPO" dataDxfId="138" totalsRowDxfId="137"/>
    <tableColumn id="12" xr3:uid="{00000000-0010-0000-0000-00000C000000}" name="Credito" dataDxfId="136" totalsRowDxfId="135"/>
    <tableColumn id="13" xr3:uid="{00000000-0010-0000-0000-00000D000000}" name="Transporte" dataDxfId="134" totalsRowDxfId="133"/>
    <tableColumn id="14" xr3:uid="{00000000-0010-0000-0000-00000E000000}" name="BLOQUEADO" dataDxfId="132" totalsRowDxfId="131"/>
    <tableColumn id="15" xr3:uid="{00000000-0010-0000-0000-00000F000000}" name="Dcto" dataDxfId="130" totalsRowDxfId="129"/>
    <tableColumn id="16" xr3:uid="{00000000-0010-0000-0000-000010000000}" name="CONDICION DE PAGO" dataDxfId="128" totalsRowDxfId="127"/>
    <tableColumn id="17" xr3:uid="{00000000-0010-0000-0000-000011000000}" name="CELULAR" dataDxfId="126" totalsRowDxfId="125"/>
    <tableColumn id="18" xr3:uid="{00000000-0010-0000-0000-000012000000}" name="GIRO" dataDxfId="124" totalsRowDxfId="123"/>
    <tableColumn id="19" xr3:uid="{00000000-0010-0000-0000-000013000000}" name="NOMBRE DE TIENDA" dataDxfId="122" totalsRowDxfId="121"/>
    <tableColumn id="20" xr3:uid="{00000000-0010-0000-0000-000014000000}" name="COMUNA" dataDxfId="120" totalsRowDxfId="119"/>
    <tableColumn id="21" xr3:uid="{00000000-0010-0000-0000-000015000000}" name="Observaciones" dataDxfId="118"/>
    <tableColumn id="22" xr3:uid="{00000000-0010-0000-0000-000016000000}" name="Ped_anterior" dataDxfId="117" totalsRowDxfId="116"/>
    <tableColumn id="23" xr3:uid="{00000000-0010-0000-0000-000017000000}" name="Cantidad" dataDxfId="115" totalsRowDxfId="114"/>
    <tableColumn id="24" xr3:uid="{00000000-0010-0000-0000-000018000000}" name="Despacho" dataDxfId="113" totalsRowDxfId="112"/>
    <tableColumn id="25" xr3:uid="{00000000-0010-0000-0000-000019000000}" name="Saldo" dataDxfId="111" totalsRowDxfId="110"/>
    <tableColumn id="26" xr3:uid="{00000000-0010-0000-0000-00001A000000}" name="% Despacho" dataDxfId="109" dataCellStyle="Porcentaje"/>
    <tableColumn id="27" xr3:uid="{00000000-0010-0000-0000-00001B000000}" name="Valor" dataDxfId="108" totalsRowDxfId="107"/>
    <tableColumn id="28" xr3:uid="{00000000-0010-0000-0000-00001C000000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342" displayName="Tabla1342" ref="A3:AC123" totalsRowShown="0" headerRowDxfId="104" dataDxfId="103">
  <autoFilter ref="A3:AC123" xr:uid="{00000000-0009-0000-0100-000002000000}"/>
  <tableColumns count="29">
    <tableColumn id="1" xr3:uid="{00000000-0010-0000-0100-000001000000}" name="RUT" dataDxfId="102" totalsRowDxfId="101"/>
    <tableColumn id="29" xr3:uid="{00000000-0010-0000-0100-00001D000000}" name="RUT2" dataDxfId="100" totalsRowDxfId="99"/>
    <tableColumn id="2" xr3:uid="{00000000-0010-0000-0100-000002000000}" name="Razon Social" dataDxfId="98" totalsRowDxfId="97"/>
    <tableColumn id="3" xr3:uid="{00000000-0010-0000-0100-000003000000}" name="Ciudad" dataDxfId="96" totalsRowDxfId="95"/>
    <tableColumn id="4" xr3:uid="{00000000-0010-0000-0100-000004000000}" name="Direccion" dataDxfId="94" totalsRowDxfId="93"/>
    <tableColumn id="5" xr3:uid="{00000000-0010-0000-0100-000005000000}" name="Fono" dataDxfId="92" totalsRowDxfId="91"/>
    <tableColumn id="6" xr3:uid="{00000000-0010-0000-0100-000006000000}" name="Vendedor" dataDxfId="90" totalsRowDxfId="89"/>
    <tableColumn id="7" xr3:uid="{00000000-0010-0000-0100-000007000000}" name="Correo" dataDxfId="88"/>
    <tableColumn id="8" xr3:uid="{00000000-0010-0000-0100-000008000000}" name="WWW" dataDxfId="87" totalsRowDxfId="86"/>
    <tableColumn id="9" xr3:uid="{00000000-0010-0000-0100-000009000000}" name="Contacto" dataDxfId="85" totalsRowDxfId="84"/>
    <tableColumn id="10" xr3:uid="{00000000-0010-0000-0100-00000A000000}" name="Cargo" dataDxfId="83" totalsRowDxfId="82"/>
    <tableColumn id="11" xr3:uid="{00000000-0010-0000-0100-00000B000000}" name="GRUPO" dataDxfId="81" totalsRowDxfId="80"/>
    <tableColumn id="12" xr3:uid="{00000000-0010-0000-0100-00000C000000}" name="Credito" dataDxfId="79" totalsRowDxfId="78"/>
    <tableColumn id="13" xr3:uid="{00000000-0010-0000-0100-00000D000000}" name="Transporte" dataDxfId="77" totalsRowDxfId="76"/>
    <tableColumn id="14" xr3:uid="{00000000-0010-0000-0100-00000E000000}" name="BLOQUEADO" dataDxfId="75" totalsRowDxfId="74"/>
    <tableColumn id="15" xr3:uid="{00000000-0010-0000-0100-00000F000000}" name="Dcto" dataDxfId="73" totalsRowDxfId="72"/>
    <tableColumn id="16" xr3:uid="{00000000-0010-0000-0100-000010000000}" name="CONDICION DE PAGO" dataDxfId="71" totalsRowDxfId="70"/>
    <tableColumn id="17" xr3:uid="{00000000-0010-0000-0100-000011000000}" name="CELULAR" dataDxfId="69" totalsRowDxfId="68"/>
    <tableColumn id="18" xr3:uid="{00000000-0010-0000-0100-000012000000}" name="GIRO" dataDxfId="67" totalsRowDxfId="66"/>
    <tableColumn id="19" xr3:uid="{00000000-0010-0000-0100-000013000000}" name="NOMBRE DE TIENDA" dataDxfId="65" totalsRowDxfId="64"/>
    <tableColumn id="20" xr3:uid="{00000000-0010-0000-0100-000014000000}" name="COMUNA" dataDxfId="63" totalsRowDxfId="62"/>
    <tableColumn id="21" xr3:uid="{00000000-0010-0000-0100-000015000000}" name="Observaciones" dataDxfId="61"/>
    <tableColumn id="22" xr3:uid="{00000000-0010-0000-0100-000016000000}" name="Ped_anterior" dataDxfId="60" totalsRowDxfId="59"/>
    <tableColumn id="23" xr3:uid="{00000000-0010-0000-0100-000017000000}" name="Cantidad" dataDxfId="58" totalsRowDxfId="57"/>
    <tableColumn id="24" xr3:uid="{00000000-0010-0000-0100-000018000000}" name="Despacho" dataDxfId="56" totalsRowDxfId="55"/>
    <tableColumn id="25" xr3:uid="{00000000-0010-0000-0100-000019000000}" name="Saldo" dataDxfId="54" totalsRowDxfId="53"/>
    <tableColumn id="26" xr3:uid="{00000000-0010-0000-0100-00001A000000}" name="% Despacho" dataDxfId="52" dataCellStyle="Porcentaje"/>
    <tableColumn id="27" xr3:uid="{00000000-0010-0000-0100-00001B000000}" name="Valor" dataDxfId="51" totalsRowDxfId="50"/>
    <tableColumn id="28" xr3:uid="{00000000-0010-0000-0100-00001C000000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1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1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1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2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2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2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W17" sqref="W17"/>
    </sheetView>
  </sheetViews>
  <sheetFormatPr baseColWidth="10" defaultColWidth="11.44140625" defaultRowHeight="23.4" x14ac:dyDescent="0.25"/>
  <cols>
    <col min="1" max="1" width="14.88671875" style="191" customWidth="1"/>
    <col min="2" max="2" width="14.88671875" style="307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6640625" style="1" customWidth="1"/>
    <col min="21" max="21" width="4" style="15" customWidth="1"/>
    <col min="22" max="22" width="11.44140625" style="1" customWidth="1"/>
    <col min="23" max="16384" width="11.44140625" style="1"/>
  </cols>
  <sheetData>
    <row r="1" spans="1:22" ht="22.2" customHeight="1" thickTop="1" x14ac:dyDescent="0.25">
      <c r="A1" s="185"/>
      <c r="B1" s="296"/>
      <c r="C1" s="106"/>
      <c r="D1" s="108"/>
      <c r="E1" s="457" t="s">
        <v>627</v>
      </c>
      <c r="F1" s="458"/>
      <c r="G1" s="458"/>
      <c r="H1" s="439" t="s">
        <v>628</v>
      </c>
      <c r="I1" s="440"/>
      <c r="J1" s="440"/>
      <c r="K1" s="441"/>
      <c r="L1" s="431" t="str">
        <f>_xlfn.IFNA(VLOOKUP(L5,'BASE DE DATOS OFICIAL'!$A$4:$AC$166,3,0),"SIN INFORMACIÓN")</f>
        <v>SIN INFORMACIÓN</v>
      </c>
      <c r="M1" s="432"/>
      <c r="N1" s="432"/>
      <c r="O1" s="432"/>
      <c r="P1" s="432"/>
      <c r="Q1" s="432"/>
      <c r="R1" s="432"/>
      <c r="S1" s="432"/>
      <c r="T1" s="433"/>
    </row>
    <row r="2" spans="1:22" ht="22.2" customHeight="1" x14ac:dyDescent="0.25">
      <c r="A2" s="186"/>
      <c r="B2" s="297"/>
      <c r="C2" s="107"/>
      <c r="D2" s="109"/>
      <c r="E2" s="418"/>
      <c r="F2" s="418"/>
      <c r="G2" s="418"/>
      <c r="H2" s="428" t="s">
        <v>629</v>
      </c>
      <c r="I2" s="408"/>
      <c r="J2" s="408"/>
      <c r="K2" s="407"/>
      <c r="L2" s="437" t="str">
        <f>_xlfn.IFNA(VLOOKUP(L5,'BASE DE DATOS OFICIAL'!$A$4:$AC$166,19,0),"SIN INFORMACIÓN")</f>
        <v>SIN INFORMACIÓN</v>
      </c>
      <c r="M2" s="410"/>
      <c r="N2" s="410"/>
      <c r="O2" s="410"/>
      <c r="P2" s="410"/>
      <c r="Q2" s="410"/>
      <c r="R2" s="410"/>
      <c r="S2" s="410"/>
      <c r="T2" s="430"/>
    </row>
    <row r="3" spans="1:22" ht="22.2" customHeight="1" x14ac:dyDescent="0.25">
      <c r="A3" s="186"/>
      <c r="B3" s="297"/>
      <c r="C3" s="107"/>
      <c r="D3" s="109"/>
      <c r="E3" s="400" t="e">
        <f>VLOOKUP(L5,'BASE DE DATOS OFICIAL'!A3:AC166,14,0)</f>
        <v>#N/A</v>
      </c>
      <c r="F3" s="401"/>
      <c r="G3" s="401"/>
      <c r="H3" s="428" t="s">
        <v>630</v>
      </c>
      <c r="I3" s="408"/>
      <c r="J3" s="408"/>
      <c r="K3" s="407"/>
      <c r="L3" s="437" t="str">
        <f>_xlfn.IFNA(VLOOKUP(L5,'BASE DE DATOS OFICIAL'!$A$4:$AC$166,5,0),"SIN INFORMACIÓN")</f>
        <v>SIN INFORMACIÓN</v>
      </c>
      <c r="M3" s="410"/>
      <c r="N3" s="410"/>
      <c r="O3" s="410"/>
      <c r="P3" s="410"/>
      <c r="Q3" s="410"/>
      <c r="R3" s="410"/>
      <c r="S3" s="410"/>
      <c r="T3" s="430"/>
    </row>
    <row r="4" spans="1:22" ht="22.2" customHeight="1" thickBot="1" x14ac:dyDescent="0.3">
      <c r="A4" s="186"/>
      <c r="B4" s="297"/>
      <c r="C4" s="107"/>
      <c r="D4" s="109"/>
      <c r="E4" s="402"/>
      <c r="F4" s="402"/>
      <c r="G4" s="402"/>
      <c r="H4" s="428" t="s">
        <v>631</v>
      </c>
      <c r="I4" s="408"/>
      <c r="J4" s="408"/>
      <c r="K4" s="407"/>
      <c r="L4" s="409" t="str">
        <f>_xlfn.IFNA(VLOOKUP(L5,'BASE DE DATOS OFICIAL'!$A$4:$AC$166,20,0),"SIN INFORMACIÓN")</f>
        <v>SIN INFORMACIÓN</v>
      </c>
      <c r="M4" s="410"/>
      <c r="N4" s="410"/>
      <c r="O4" s="410"/>
      <c r="P4" s="410"/>
      <c r="Q4" s="410"/>
      <c r="R4" s="410"/>
      <c r="S4" s="410"/>
      <c r="T4" s="411"/>
    </row>
    <row r="5" spans="1:22" ht="22.2" customHeight="1" thickTop="1" x14ac:dyDescent="0.25">
      <c r="A5" s="186"/>
      <c r="B5" s="297"/>
      <c r="C5" s="107"/>
      <c r="D5" s="109"/>
      <c r="E5" s="416" t="s">
        <v>632</v>
      </c>
      <c r="F5" s="417"/>
      <c r="G5" s="417"/>
      <c r="H5" s="406" t="s">
        <v>633</v>
      </c>
      <c r="I5" s="408"/>
      <c r="J5" s="408"/>
      <c r="K5" s="407"/>
      <c r="L5" s="452"/>
      <c r="M5" s="408"/>
      <c r="N5" s="408"/>
      <c r="O5" s="408"/>
      <c r="P5" s="408"/>
      <c r="Q5" s="462" t="s">
        <v>634</v>
      </c>
      <c r="R5" s="463"/>
      <c r="S5" s="438"/>
      <c r="T5" s="407"/>
    </row>
    <row r="6" spans="1:22" ht="22.2" customHeight="1" x14ac:dyDescent="0.25">
      <c r="A6" s="186"/>
      <c r="B6" s="297"/>
      <c r="C6" s="107"/>
      <c r="D6" s="109"/>
      <c r="E6" s="418"/>
      <c r="F6" s="418"/>
      <c r="G6" s="418"/>
      <c r="H6" s="406" t="s">
        <v>635</v>
      </c>
      <c r="I6" s="408"/>
      <c r="J6" s="408"/>
      <c r="K6" s="407"/>
      <c r="L6" s="429" t="str">
        <f>_xlfn.IFNA(VLOOKUP(L5,'BASE DE DATOS OFICIAL'!$A$4:$AC$166,21,0),"SIN INFORMACIÓN")</f>
        <v>SIN INFORMACIÓN</v>
      </c>
      <c r="M6" s="410"/>
      <c r="N6" s="410"/>
      <c r="O6" s="410"/>
      <c r="P6" s="430"/>
      <c r="Q6" s="406" t="s">
        <v>636</v>
      </c>
      <c r="R6" s="407"/>
      <c r="S6" s="434" t="str">
        <f>_xlfn.IFNA(VLOOKUP(L5,'BASE DE DATOS OFICIAL'!$A$4:$AC$166,4,0),"SIN INFORMACIÓN")</f>
        <v>SIN INFORMACIÓN</v>
      </c>
      <c r="T6" s="407"/>
    </row>
    <row r="7" spans="1:22" ht="22.2" customHeight="1" x14ac:dyDescent="0.25">
      <c r="A7" s="186"/>
      <c r="B7" s="297"/>
      <c r="C7" s="277" t="s">
        <v>637</v>
      </c>
      <c r="D7" s="278"/>
      <c r="E7" s="421" t="str">
        <f>_xlfn.IFNA(VLOOKUP(L5,'BASE DE DATOS OFICIAL'!$A$4:$AC$166,17,0),"SIN INFORMACIÓN")</f>
        <v>SIN INFORMACIÓN</v>
      </c>
      <c r="F7" s="417"/>
      <c r="G7" s="417"/>
      <c r="H7" s="406" t="s">
        <v>638</v>
      </c>
      <c r="I7" s="408"/>
      <c r="J7" s="408"/>
      <c r="K7" s="407"/>
      <c r="L7" s="429" t="str">
        <f>_xlfn.IFNA(VLOOKUP(L5,'BASE DE DATOS OFICIAL'!$A$4:$AC$166,6,0),"SIN INFORMACIÓN")</f>
        <v>SIN INFORMACIÓN</v>
      </c>
      <c r="M7" s="410"/>
      <c r="N7" s="410"/>
      <c r="O7" s="410"/>
      <c r="P7" s="430"/>
      <c r="Q7" s="406" t="s">
        <v>639</v>
      </c>
      <c r="R7" s="407"/>
      <c r="S7" s="434" t="str">
        <f>_xlfn.IFNA(VLOOKUP(L5,'BASE DE DATOS OFICIAL'!$A$4:$AC$166,18,0),"SIN INFORMACIÓN")</f>
        <v>SIN INFORMACIÓN</v>
      </c>
      <c r="T7" s="407"/>
    </row>
    <row r="8" spans="1:22" ht="22.2" customHeight="1" x14ac:dyDescent="0.25">
      <c r="A8" s="186"/>
      <c r="B8" s="297"/>
      <c r="C8" s="277" t="s">
        <v>640</v>
      </c>
      <c r="D8" s="278"/>
      <c r="E8" s="418"/>
      <c r="F8" s="418"/>
      <c r="G8" s="418"/>
      <c r="H8" s="406" t="s">
        <v>641</v>
      </c>
      <c r="I8" s="408"/>
      <c r="J8" s="408"/>
      <c r="K8" s="407"/>
      <c r="L8" s="454">
        <f ca="1">TODAY()</f>
        <v>46225</v>
      </c>
      <c r="M8" s="408"/>
      <c r="N8" s="408"/>
      <c r="O8" s="408"/>
      <c r="P8" s="407"/>
      <c r="Q8" s="406" t="s">
        <v>642</v>
      </c>
      <c r="R8" s="407"/>
      <c r="S8" s="412" t="str">
        <f>_xlfn.IFNA(VLOOKUP(L5,'BASE DE DATOS OFICIAL'!$A$4:$AC$166,9,0),"SIN INFORMACIÓN")</f>
        <v>SIN INFORMACIÓN</v>
      </c>
      <c r="T8" s="407"/>
    </row>
    <row r="9" spans="1:22" ht="22.2" customHeight="1" x14ac:dyDescent="0.25">
      <c r="A9" s="186"/>
      <c r="B9" s="297"/>
      <c r="C9" s="277"/>
      <c r="D9" s="278"/>
      <c r="E9" s="460" t="s">
        <v>643</v>
      </c>
      <c r="F9" s="417"/>
      <c r="G9" s="417"/>
      <c r="H9" s="420" t="s">
        <v>644</v>
      </c>
      <c r="I9" s="408"/>
      <c r="J9" s="408"/>
      <c r="K9" s="407"/>
      <c r="L9" s="453" t="str">
        <f>_xlfn.IFNA(VLOOKUP(L5,'BASE DE DATOS OFICIAL'!$A$4:$AC$166,7,0),"SIN INFORMACIÓN")</f>
        <v>SIN INFORMACIÓN</v>
      </c>
      <c r="M9" s="408"/>
      <c r="N9" s="408"/>
      <c r="O9" s="408"/>
      <c r="P9" s="407"/>
      <c r="Q9" s="428" t="s">
        <v>645</v>
      </c>
      <c r="R9" s="424"/>
      <c r="S9" s="423" t="s">
        <v>646</v>
      </c>
      <c r="T9" s="424"/>
    </row>
    <row r="10" spans="1:22" ht="22.2" customHeight="1" x14ac:dyDescent="0.25">
      <c r="A10" s="186"/>
      <c r="B10" s="297"/>
      <c r="C10" s="107" t="s">
        <v>647</v>
      </c>
      <c r="D10" s="109"/>
      <c r="E10" s="418"/>
      <c r="F10" s="418"/>
      <c r="G10" s="418"/>
      <c r="H10" s="406" t="s">
        <v>648</v>
      </c>
      <c r="I10" s="408"/>
      <c r="J10" s="408"/>
      <c r="K10" s="407"/>
      <c r="L10" s="459" t="s">
        <v>649</v>
      </c>
      <c r="M10" s="408"/>
      <c r="N10" s="408"/>
      <c r="O10" s="408"/>
      <c r="P10" s="407"/>
      <c r="Q10" s="447"/>
      <c r="R10" s="425"/>
      <c r="S10" s="418"/>
      <c r="T10" s="425"/>
    </row>
    <row r="11" spans="1:22" ht="22.2" customHeight="1" x14ac:dyDescent="0.25">
      <c r="A11" s="186"/>
      <c r="B11" s="297"/>
      <c r="C11" s="273" t="s">
        <v>650</v>
      </c>
      <c r="D11" s="274"/>
      <c r="E11" s="419"/>
      <c r="F11" s="417"/>
      <c r="G11" s="417"/>
      <c r="H11" s="420" t="s">
        <v>651</v>
      </c>
      <c r="I11" s="408"/>
      <c r="J11" s="408"/>
      <c r="K11" s="407"/>
      <c r="L11" s="446" t="str">
        <f>_xlfn.IFNA(VLOOKUP(L5,'BASE DE DATOS OFICIAL'!$A$4:$AC$166,29,0),"SIN INFORMACIÓN")</f>
        <v>SIN INFORMACIÓN</v>
      </c>
      <c r="M11" s="408"/>
      <c r="N11" s="461" t="s">
        <v>652</v>
      </c>
      <c r="O11" s="408"/>
      <c r="P11" s="408"/>
      <c r="Q11" s="406" t="s">
        <v>653</v>
      </c>
      <c r="R11" s="407"/>
      <c r="S11" s="192"/>
      <c r="T11" s="127"/>
    </row>
    <row r="12" spans="1:22" ht="22.2" customHeight="1" thickBot="1" x14ac:dyDescent="0.3">
      <c r="A12" s="186"/>
      <c r="B12" s="297"/>
      <c r="C12" s="275"/>
      <c r="D12" s="276"/>
      <c r="E12" s="418"/>
      <c r="F12" s="418"/>
      <c r="G12" s="418"/>
      <c r="H12" s="442" t="s">
        <v>654</v>
      </c>
      <c r="I12" s="414"/>
      <c r="J12" s="414"/>
      <c r="K12" s="427"/>
      <c r="L12" s="413" t="s">
        <v>655</v>
      </c>
      <c r="M12" s="414"/>
      <c r="N12" s="414"/>
      <c r="O12" s="414"/>
      <c r="P12" s="415"/>
      <c r="Q12" s="426" t="s">
        <v>656</v>
      </c>
      <c r="R12" s="427"/>
      <c r="S12" s="128" t="s">
        <v>657</v>
      </c>
      <c r="T12" s="129" t="s">
        <v>658</v>
      </c>
    </row>
    <row r="13" spans="1:22" ht="22.2" customHeight="1" thickTop="1" thickBot="1" x14ac:dyDescent="0.3">
      <c r="A13" s="279"/>
      <c r="B13" s="298"/>
      <c r="C13" s="280"/>
      <c r="D13" s="280"/>
      <c r="E13" s="280"/>
      <c r="F13" s="280"/>
      <c r="G13" s="280"/>
      <c r="H13" s="443">
        <v>3800</v>
      </c>
      <c r="I13" s="444"/>
      <c r="J13" s="444"/>
      <c r="K13" s="445"/>
      <c r="L13" s="403" t="str">
        <f>_xlfn.IFNA(VLOOKUP(L5,'BASE DE DATOS OFICIAL'!$A$4:$AC$166,24,0),"SIN INFORMACIÓN")</f>
        <v>SIN INFORMACIÓN</v>
      </c>
      <c r="M13" s="404"/>
      <c r="N13" s="404"/>
      <c r="O13" s="404"/>
      <c r="P13" s="405"/>
      <c r="Q13" s="422" t="str">
        <f>_xlfn.IFNA(VLOOKUP(L5,'BASE DE DATOS OFICIAL'!$A$4:$AC$166,25,0),"SIN INFORMACIÓN")</f>
        <v>SIN INFORMACIÓN</v>
      </c>
      <c r="R13" s="405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187" t="s">
        <v>659</v>
      </c>
      <c r="B14" s="299" t="s">
        <v>660</v>
      </c>
      <c r="C14" s="133" t="s">
        <v>661</v>
      </c>
      <c r="D14" s="133" t="s">
        <v>3</v>
      </c>
      <c r="E14" s="134" t="s">
        <v>662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663</v>
      </c>
      <c r="O14" s="133" t="s">
        <v>664</v>
      </c>
      <c r="P14" s="136" t="s">
        <v>665</v>
      </c>
      <c r="Q14" s="450" t="s">
        <v>666</v>
      </c>
      <c r="R14" s="451"/>
      <c r="S14" s="133" t="s">
        <v>658</v>
      </c>
      <c r="T14" s="137" t="s">
        <v>667</v>
      </c>
      <c r="U14" s="130"/>
      <c r="V14" s="131"/>
    </row>
    <row r="15" spans="1:22" ht="18" customHeight="1" x14ac:dyDescent="0.25">
      <c r="A15" s="257"/>
      <c r="B15" s="300"/>
      <c r="C15" s="110" t="e">
        <f t="shared" ref="C15:C41" si="0">IF(A15&lt;&gt;"",VLOOKUP(A15,jeans,3,FALSE),VLOOKUP(B15,jeans2,2,FALSE))</f>
        <v>#N/A</v>
      </c>
      <c r="D15" s="110" t="e">
        <f t="shared" ref="D15:D41" si="1">IF(A15&lt;&gt;"",VLOOKUP(A15,jeans,4,FALSE),VLOOKUP(B15,jeans2,3,FALSE))</f>
        <v>#N/A</v>
      </c>
      <c r="E15" s="114" t="e">
        <f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68">
        <f t="shared" ref="Q15:Q59" si="2">SUM($F15:$P15)</f>
        <v>0</v>
      </c>
      <c r="R15" s="269"/>
      <c r="S15" s="122" t="e">
        <f t="shared" ref="S15:S41" si="3">IF(A15&lt;&gt;"",VLOOKUP(A15,jeans,6,FALSE),VLOOKUP(B15,jeans2,5,FALSE))</f>
        <v>#N/A</v>
      </c>
      <c r="T15" s="113" t="str">
        <f t="shared" ref="T15:T59" si="4">IFERROR(Q15*S15,"")</f>
        <v/>
      </c>
    </row>
    <row r="16" spans="1:22" ht="18" customHeight="1" x14ac:dyDescent="0.25">
      <c r="A16" s="195"/>
      <c r="B16" s="300"/>
      <c r="C16" s="110" t="e">
        <f t="shared" si="0"/>
        <v>#N/A</v>
      </c>
      <c r="D16" s="110" t="e">
        <f t="shared" si="1"/>
        <v>#N/A</v>
      </c>
      <c r="E16" s="114" t="e">
        <f t="shared" ref="E16:E41" si="5">IF(A16&lt;&gt;"",VLOOKUP(A16,jeans,4,FALSE),VLOOKUP(B16,jeans2,4,FALSE))</f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68">
        <f t="shared" si="2"/>
        <v>0</v>
      </c>
      <c r="R16" s="269"/>
      <c r="S16" s="122" t="e">
        <f t="shared" si="3"/>
        <v>#N/A</v>
      </c>
      <c r="T16" s="113" t="str">
        <f t="shared" si="4"/>
        <v/>
      </c>
    </row>
    <row r="17" spans="1:20" ht="18" customHeight="1" x14ac:dyDescent="0.25">
      <c r="A17" s="257"/>
      <c r="B17" s="300"/>
      <c r="C17" s="110" t="e">
        <f t="shared" si="0"/>
        <v>#N/A</v>
      </c>
      <c r="D17" s="110" t="e">
        <f t="shared" si="1"/>
        <v>#N/A</v>
      </c>
      <c r="E17" s="114" t="e">
        <f t="shared" si="5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68">
        <f t="shared" si="2"/>
        <v>0</v>
      </c>
      <c r="R17" s="269"/>
      <c r="S17" s="122" t="e">
        <f t="shared" si="3"/>
        <v>#N/A</v>
      </c>
      <c r="T17" s="113" t="str">
        <f t="shared" si="4"/>
        <v/>
      </c>
    </row>
    <row r="18" spans="1:20" ht="18" customHeight="1" x14ac:dyDescent="0.25">
      <c r="A18" s="195"/>
      <c r="B18" s="300" t="str">
        <f t="shared" ref="B18:B41" si="6">IF(A18="","",VLOOKUP(A18,jeans,2,FALSE))</f>
        <v/>
      </c>
      <c r="C18" s="110" t="e">
        <f t="shared" si="0"/>
        <v>#N/A</v>
      </c>
      <c r="D18" s="110" t="e">
        <f t="shared" si="1"/>
        <v>#N/A</v>
      </c>
      <c r="E18" s="114" t="e">
        <f t="shared" si="5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68">
        <f t="shared" si="2"/>
        <v>0</v>
      </c>
      <c r="R18" s="269"/>
      <c r="S18" s="122" t="e">
        <f t="shared" si="3"/>
        <v>#N/A</v>
      </c>
      <c r="T18" s="113" t="str">
        <f t="shared" si="4"/>
        <v/>
      </c>
    </row>
    <row r="19" spans="1:20" ht="18" customHeight="1" x14ac:dyDescent="0.25">
      <c r="A19" s="195"/>
      <c r="B19" s="300" t="str">
        <f t="shared" si="6"/>
        <v/>
      </c>
      <c r="C19" s="110" t="e">
        <f t="shared" si="0"/>
        <v>#N/A</v>
      </c>
      <c r="D19" s="110" t="e">
        <f t="shared" si="1"/>
        <v>#N/A</v>
      </c>
      <c r="E19" s="114" t="e">
        <f t="shared" si="5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68">
        <f t="shared" si="2"/>
        <v>0</v>
      </c>
      <c r="R19" s="269"/>
      <c r="S19" s="122" t="e">
        <f t="shared" si="3"/>
        <v>#N/A</v>
      </c>
      <c r="T19" s="113" t="str">
        <f t="shared" si="4"/>
        <v/>
      </c>
    </row>
    <row r="20" spans="1:20" ht="18" customHeight="1" x14ac:dyDescent="0.25">
      <c r="A20" s="195"/>
      <c r="B20" s="300"/>
      <c r="C20" s="110" t="e">
        <f t="shared" si="0"/>
        <v>#N/A</v>
      </c>
      <c r="D20" s="110" t="e">
        <f t="shared" si="1"/>
        <v>#N/A</v>
      </c>
      <c r="E20" s="114" t="e">
        <f t="shared" si="5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68">
        <f t="shared" si="2"/>
        <v>0</v>
      </c>
      <c r="R20" s="269"/>
      <c r="S20" s="122" t="e">
        <f t="shared" si="3"/>
        <v>#N/A</v>
      </c>
      <c r="T20" s="113" t="str">
        <f t="shared" si="4"/>
        <v/>
      </c>
    </row>
    <row r="21" spans="1:20" ht="18" customHeight="1" x14ac:dyDescent="0.25">
      <c r="A21" s="195"/>
      <c r="B21" s="300" t="str">
        <f t="shared" si="6"/>
        <v/>
      </c>
      <c r="C21" s="110" t="e">
        <f t="shared" si="0"/>
        <v>#N/A</v>
      </c>
      <c r="D21" s="110" t="e">
        <f t="shared" si="1"/>
        <v>#N/A</v>
      </c>
      <c r="E21" s="114" t="e">
        <f t="shared" si="5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68">
        <f t="shared" si="2"/>
        <v>0</v>
      </c>
      <c r="R21" s="269"/>
      <c r="S21" s="122" t="e">
        <f t="shared" si="3"/>
        <v>#N/A</v>
      </c>
      <c r="T21" s="113" t="str">
        <f t="shared" si="4"/>
        <v/>
      </c>
    </row>
    <row r="22" spans="1:20" ht="18" customHeight="1" x14ac:dyDescent="0.25">
      <c r="A22" s="195"/>
      <c r="B22" s="300" t="str">
        <f t="shared" si="6"/>
        <v/>
      </c>
      <c r="C22" s="110" t="e">
        <f t="shared" si="0"/>
        <v>#N/A</v>
      </c>
      <c r="D22" s="110" t="e">
        <f t="shared" si="1"/>
        <v>#N/A</v>
      </c>
      <c r="E22" s="114" t="e">
        <f t="shared" si="5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68">
        <f t="shared" si="2"/>
        <v>0</v>
      </c>
      <c r="R22" s="269"/>
      <c r="S22" s="122" t="e">
        <f t="shared" si="3"/>
        <v>#N/A</v>
      </c>
      <c r="T22" s="113" t="str">
        <f t="shared" si="4"/>
        <v/>
      </c>
    </row>
    <row r="23" spans="1:20" ht="18" customHeight="1" x14ac:dyDescent="0.25">
      <c r="A23" s="195"/>
      <c r="B23" s="300" t="str">
        <f t="shared" si="6"/>
        <v/>
      </c>
      <c r="C23" s="110" t="e">
        <f t="shared" si="0"/>
        <v>#N/A</v>
      </c>
      <c r="D23" s="110" t="e">
        <f t="shared" si="1"/>
        <v>#N/A</v>
      </c>
      <c r="E23" s="114" t="e">
        <f t="shared" si="5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68">
        <f t="shared" si="2"/>
        <v>0</v>
      </c>
      <c r="R23" s="269"/>
      <c r="S23" s="122" t="e">
        <f t="shared" si="3"/>
        <v>#N/A</v>
      </c>
      <c r="T23" s="113" t="str">
        <f t="shared" si="4"/>
        <v/>
      </c>
    </row>
    <row r="24" spans="1:20" ht="18" customHeight="1" x14ac:dyDescent="0.25">
      <c r="A24" s="195"/>
      <c r="B24" s="300" t="str">
        <f t="shared" si="6"/>
        <v/>
      </c>
      <c r="C24" s="110" t="e">
        <f t="shared" si="0"/>
        <v>#N/A</v>
      </c>
      <c r="D24" s="110" t="e">
        <f t="shared" si="1"/>
        <v>#N/A</v>
      </c>
      <c r="E24" s="114" t="e">
        <f t="shared" si="5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68">
        <f t="shared" si="2"/>
        <v>0</v>
      </c>
      <c r="R24" s="269"/>
      <c r="S24" s="122" t="e">
        <f t="shared" si="3"/>
        <v>#N/A</v>
      </c>
      <c r="T24" s="113" t="str">
        <f t="shared" si="4"/>
        <v/>
      </c>
    </row>
    <row r="25" spans="1:20" ht="18" customHeight="1" x14ac:dyDescent="0.25">
      <c r="A25" s="195"/>
      <c r="B25" s="300" t="str">
        <f t="shared" si="6"/>
        <v/>
      </c>
      <c r="C25" s="110" t="e">
        <f t="shared" si="0"/>
        <v>#N/A</v>
      </c>
      <c r="D25" s="110" t="e">
        <f t="shared" si="1"/>
        <v>#N/A</v>
      </c>
      <c r="E25" s="114" t="e">
        <f t="shared" si="5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68">
        <f t="shared" si="2"/>
        <v>0</v>
      </c>
      <c r="R25" s="269"/>
      <c r="S25" s="122" t="e">
        <f t="shared" si="3"/>
        <v>#N/A</v>
      </c>
      <c r="T25" s="113" t="str">
        <f t="shared" si="4"/>
        <v/>
      </c>
    </row>
    <row r="26" spans="1:20" ht="18" customHeight="1" x14ac:dyDescent="0.25">
      <c r="A26" s="195"/>
      <c r="B26" s="300" t="str">
        <f t="shared" si="6"/>
        <v/>
      </c>
      <c r="C26" s="110" t="e">
        <f t="shared" si="0"/>
        <v>#N/A</v>
      </c>
      <c r="D26" s="110" t="e">
        <f t="shared" si="1"/>
        <v>#N/A</v>
      </c>
      <c r="E26" s="114" t="e">
        <f t="shared" si="5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68">
        <f t="shared" si="2"/>
        <v>0</v>
      </c>
      <c r="R26" s="269"/>
      <c r="S26" s="122" t="e">
        <f t="shared" si="3"/>
        <v>#N/A</v>
      </c>
      <c r="T26" s="113" t="str">
        <f t="shared" si="4"/>
        <v/>
      </c>
    </row>
    <row r="27" spans="1:20" ht="18" customHeight="1" x14ac:dyDescent="0.25">
      <c r="A27" s="195"/>
      <c r="B27" s="300" t="str">
        <f t="shared" si="6"/>
        <v/>
      </c>
      <c r="C27" s="110" t="e">
        <f t="shared" si="0"/>
        <v>#N/A</v>
      </c>
      <c r="D27" s="110" t="e">
        <f t="shared" si="1"/>
        <v>#N/A</v>
      </c>
      <c r="E27" s="114" t="e">
        <f t="shared" si="5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68">
        <f t="shared" si="2"/>
        <v>0</v>
      </c>
      <c r="R27" s="269"/>
      <c r="S27" s="122" t="e">
        <f t="shared" si="3"/>
        <v>#N/A</v>
      </c>
      <c r="T27" s="113" t="str">
        <f t="shared" si="4"/>
        <v/>
      </c>
    </row>
    <row r="28" spans="1:20" ht="18" customHeight="1" x14ac:dyDescent="0.25">
      <c r="A28" s="195"/>
      <c r="B28" s="300" t="str">
        <f t="shared" si="6"/>
        <v/>
      </c>
      <c r="C28" s="110" t="e">
        <f t="shared" si="0"/>
        <v>#N/A</v>
      </c>
      <c r="D28" s="110" t="e">
        <f t="shared" si="1"/>
        <v>#N/A</v>
      </c>
      <c r="E28" s="114" t="e">
        <f t="shared" si="5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68">
        <f t="shared" si="2"/>
        <v>0</v>
      </c>
      <c r="R28" s="269"/>
      <c r="S28" s="122" t="e">
        <f t="shared" si="3"/>
        <v>#N/A</v>
      </c>
      <c r="T28" s="113" t="str">
        <f t="shared" si="4"/>
        <v/>
      </c>
    </row>
    <row r="29" spans="1:20" ht="18" customHeight="1" x14ac:dyDescent="0.25">
      <c r="A29" s="195"/>
      <c r="B29" s="300" t="str">
        <f t="shared" si="6"/>
        <v/>
      </c>
      <c r="C29" s="110" t="e">
        <f t="shared" si="0"/>
        <v>#N/A</v>
      </c>
      <c r="D29" s="110" t="e">
        <f t="shared" si="1"/>
        <v>#N/A</v>
      </c>
      <c r="E29" s="114" t="e">
        <f t="shared" si="5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68">
        <f t="shared" si="2"/>
        <v>0</v>
      </c>
      <c r="R29" s="269"/>
      <c r="S29" s="122" t="e">
        <f t="shared" si="3"/>
        <v>#N/A</v>
      </c>
      <c r="T29" s="113" t="str">
        <f t="shared" si="4"/>
        <v/>
      </c>
    </row>
    <row r="30" spans="1:20" ht="18" customHeight="1" x14ac:dyDescent="0.25">
      <c r="A30" s="195"/>
      <c r="B30" s="300" t="str">
        <f t="shared" si="6"/>
        <v/>
      </c>
      <c r="C30" s="110" t="e">
        <f t="shared" si="0"/>
        <v>#N/A</v>
      </c>
      <c r="D30" s="110" t="e">
        <f t="shared" si="1"/>
        <v>#N/A</v>
      </c>
      <c r="E30" s="114" t="e">
        <f t="shared" si="5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68">
        <f t="shared" si="2"/>
        <v>0</v>
      </c>
      <c r="R30" s="269"/>
      <c r="S30" s="122" t="e">
        <f t="shared" si="3"/>
        <v>#N/A</v>
      </c>
      <c r="T30" s="113" t="str">
        <f t="shared" si="4"/>
        <v/>
      </c>
    </row>
    <row r="31" spans="1:20" ht="18" customHeight="1" x14ac:dyDescent="0.25">
      <c r="A31" s="195"/>
      <c r="B31" s="300" t="str">
        <f t="shared" si="6"/>
        <v/>
      </c>
      <c r="C31" s="110" t="e">
        <f t="shared" si="0"/>
        <v>#N/A</v>
      </c>
      <c r="D31" s="110" t="e">
        <f t="shared" si="1"/>
        <v>#N/A</v>
      </c>
      <c r="E31" s="114" t="e">
        <f t="shared" si="5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68">
        <f t="shared" si="2"/>
        <v>0</v>
      </c>
      <c r="R31" s="269"/>
      <c r="S31" s="122" t="e">
        <f t="shared" si="3"/>
        <v>#N/A</v>
      </c>
      <c r="T31" s="113" t="str">
        <f t="shared" si="4"/>
        <v/>
      </c>
    </row>
    <row r="32" spans="1:20" ht="18" customHeight="1" x14ac:dyDescent="0.25">
      <c r="A32" s="195"/>
      <c r="B32" s="300" t="str">
        <f t="shared" si="6"/>
        <v/>
      </c>
      <c r="C32" s="110" t="e">
        <f t="shared" si="0"/>
        <v>#N/A</v>
      </c>
      <c r="D32" s="110" t="e">
        <f t="shared" si="1"/>
        <v>#N/A</v>
      </c>
      <c r="E32" s="114" t="e">
        <f t="shared" si="5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68">
        <f t="shared" si="2"/>
        <v>0</v>
      </c>
      <c r="R32" s="269"/>
      <c r="S32" s="122" t="e">
        <f t="shared" si="3"/>
        <v>#N/A</v>
      </c>
      <c r="T32" s="113" t="str">
        <f t="shared" si="4"/>
        <v/>
      </c>
    </row>
    <row r="33" spans="1:20" ht="18" customHeight="1" x14ac:dyDescent="0.25">
      <c r="A33" s="195"/>
      <c r="B33" s="300" t="str">
        <f t="shared" si="6"/>
        <v/>
      </c>
      <c r="C33" s="110" t="e">
        <f t="shared" si="0"/>
        <v>#N/A</v>
      </c>
      <c r="D33" s="110" t="e">
        <f t="shared" si="1"/>
        <v>#N/A</v>
      </c>
      <c r="E33" s="114" t="e">
        <f t="shared" si="5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68">
        <f t="shared" si="2"/>
        <v>0</v>
      </c>
      <c r="R33" s="269"/>
      <c r="S33" s="122" t="e">
        <f t="shared" si="3"/>
        <v>#N/A</v>
      </c>
      <c r="T33" s="113" t="str">
        <f t="shared" si="4"/>
        <v/>
      </c>
    </row>
    <row r="34" spans="1:20" ht="18" customHeight="1" x14ac:dyDescent="0.25">
      <c r="A34" s="195"/>
      <c r="B34" s="300" t="str">
        <f t="shared" si="6"/>
        <v/>
      </c>
      <c r="C34" s="110" t="e">
        <f t="shared" si="0"/>
        <v>#N/A</v>
      </c>
      <c r="D34" s="110" t="e">
        <f t="shared" si="1"/>
        <v>#N/A</v>
      </c>
      <c r="E34" s="114" t="e">
        <f t="shared" si="5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68">
        <f t="shared" si="2"/>
        <v>0</v>
      </c>
      <c r="R34" s="269"/>
      <c r="S34" s="122" t="e">
        <f t="shared" si="3"/>
        <v>#N/A</v>
      </c>
      <c r="T34" s="113" t="str">
        <f t="shared" si="4"/>
        <v/>
      </c>
    </row>
    <row r="35" spans="1:20" ht="18" customHeight="1" x14ac:dyDescent="0.25">
      <c r="A35" s="195"/>
      <c r="B35" s="300" t="str">
        <f t="shared" si="6"/>
        <v/>
      </c>
      <c r="C35" s="110" t="e">
        <f t="shared" si="0"/>
        <v>#N/A</v>
      </c>
      <c r="D35" s="110" t="e">
        <f t="shared" si="1"/>
        <v>#N/A</v>
      </c>
      <c r="E35" s="114" t="e">
        <f t="shared" si="5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68">
        <f t="shared" si="2"/>
        <v>0</v>
      </c>
      <c r="R35" s="269"/>
      <c r="S35" s="122" t="e">
        <f t="shared" si="3"/>
        <v>#N/A</v>
      </c>
      <c r="T35" s="113" t="str">
        <f t="shared" si="4"/>
        <v/>
      </c>
    </row>
    <row r="36" spans="1:20" ht="18" customHeight="1" x14ac:dyDescent="0.25">
      <c r="A36" s="195"/>
      <c r="B36" s="300" t="str">
        <f t="shared" si="6"/>
        <v/>
      </c>
      <c r="C36" s="110" t="e">
        <f t="shared" si="0"/>
        <v>#N/A</v>
      </c>
      <c r="D36" s="110" t="e">
        <f t="shared" si="1"/>
        <v>#N/A</v>
      </c>
      <c r="E36" s="114" t="e">
        <f t="shared" si="5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68">
        <f t="shared" si="2"/>
        <v>0</v>
      </c>
      <c r="R36" s="269"/>
      <c r="S36" s="122" t="e">
        <f t="shared" si="3"/>
        <v>#N/A</v>
      </c>
      <c r="T36" s="113" t="str">
        <f t="shared" si="4"/>
        <v/>
      </c>
    </row>
    <row r="37" spans="1:20" ht="18" customHeight="1" x14ac:dyDescent="0.25">
      <c r="A37" s="195"/>
      <c r="B37" s="300" t="str">
        <f t="shared" si="6"/>
        <v/>
      </c>
      <c r="C37" s="110" t="e">
        <f t="shared" si="0"/>
        <v>#N/A</v>
      </c>
      <c r="D37" s="110" t="e">
        <f t="shared" si="1"/>
        <v>#N/A</v>
      </c>
      <c r="E37" s="114" t="e">
        <f t="shared" si="5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68">
        <f t="shared" si="2"/>
        <v>0</v>
      </c>
      <c r="R37" s="269"/>
      <c r="S37" s="122" t="e">
        <f t="shared" si="3"/>
        <v>#N/A</v>
      </c>
      <c r="T37" s="113" t="str">
        <f t="shared" si="4"/>
        <v/>
      </c>
    </row>
    <row r="38" spans="1:20" ht="18" customHeight="1" x14ac:dyDescent="0.25">
      <c r="A38" s="195"/>
      <c r="B38" s="300" t="str">
        <f t="shared" si="6"/>
        <v/>
      </c>
      <c r="C38" s="110" t="e">
        <f t="shared" si="0"/>
        <v>#N/A</v>
      </c>
      <c r="D38" s="110" t="e">
        <f t="shared" si="1"/>
        <v>#N/A</v>
      </c>
      <c r="E38" s="114" t="e">
        <f t="shared" si="5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68">
        <f t="shared" si="2"/>
        <v>0</v>
      </c>
      <c r="R38" s="269"/>
      <c r="S38" s="122" t="e">
        <f t="shared" si="3"/>
        <v>#N/A</v>
      </c>
      <c r="T38" s="113" t="str">
        <f t="shared" si="4"/>
        <v/>
      </c>
    </row>
    <row r="39" spans="1:20" ht="18" customHeight="1" x14ac:dyDescent="0.25">
      <c r="A39" s="195"/>
      <c r="B39" s="300" t="str">
        <f t="shared" si="6"/>
        <v/>
      </c>
      <c r="C39" s="110" t="e">
        <f t="shared" si="0"/>
        <v>#N/A</v>
      </c>
      <c r="D39" s="110" t="e">
        <f t="shared" si="1"/>
        <v>#N/A</v>
      </c>
      <c r="E39" s="114" t="e">
        <f t="shared" si="5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68">
        <f t="shared" si="2"/>
        <v>0</v>
      </c>
      <c r="R39" s="269"/>
      <c r="S39" s="122" t="e">
        <f t="shared" si="3"/>
        <v>#N/A</v>
      </c>
      <c r="T39" s="113" t="str">
        <f t="shared" si="4"/>
        <v/>
      </c>
    </row>
    <row r="40" spans="1:20" ht="18" customHeight="1" x14ac:dyDescent="0.25">
      <c r="A40" s="195"/>
      <c r="B40" s="300" t="str">
        <f t="shared" si="6"/>
        <v/>
      </c>
      <c r="C40" s="110" t="e">
        <f t="shared" si="0"/>
        <v>#N/A</v>
      </c>
      <c r="D40" s="110" t="e">
        <f t="shared" si="1"/>
        <v>#N/A</v>
      </c>
      <c r="E40" s="114" t="e">
        <f t="shared" si="5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68">
        <f t="shared" si="2"/>
        <v>0</v>
      </c>
      <c r="R40" s="269"/>
      <c r="S40" s="122" t="e">
        <f t="shared" si="3"/>
        <v>#N/A</v>
      </c>
      <c r="T40" s="113" t="str">
        <f t="shared" si="4"/>
        <v/>
      </c>
    </row>
    <row r="41" spans="1:20" ht="21" customHeight="1" thickBot="1" x14ac:dyDescent="0.3">
      <c r="A41" s="196"/>
      <c r="B41" s="300" t="str">
        <f t="shared" si="6"/>
        <v/>
      </c>
      <c r="C41" s="110" t="e">
        <f t="shared" si="0"/>
        <v>#N/A</v>
      </c>
      <c r="D41" s="110" t="e">
        <f t="shared" si="1"/>
        <v>#N/A</v>
      </c>
      <c r="E41" s="114" t="e">
        <f t="shared" si="5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68">
        <f t="shared" si="2"/>
        <v>0</v>
      </c>
      <c r="R41" s="269"/>
      <c r="S41" s="122" t="e">
        <f t="shared" si="3"/>
        <v>#N/A</v>
      </c>
      <c r="T41" s="113" t="str">
        <f t="shared" si="4"/>
        <v/>
      </c>
    </row>
    <row r="42" spans="1:20" ht="18" hidden="1" customHeight="1" x14ac:dyDescent="0.25">
      <c r="A42" s="188"/>
      <c r="B42" s="301"/>
      <c r="C42" s="48" t="str">
        <f t="shared" ref="C42:C59" si="7">IF(A42="","",VLOOKUP(A42,jeans,2,FALSE))</f>
        <v/>
      </c>
      <c r="D42" s="48" t="str">
        <f t="shared" ref="D42:D59" si="8">IF(A42="","",VLOOKUP(A42,jeans,3,FALSE))</f>
        <v/>
      </c>
      <c r="E42" s="48" t="str">
        <f t="shared" ref="E42:E59" si="9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448">
        <f t="shared" si="2"/>
        <v>0</v>
      </c>
      <c r="R42" s="449"/>
      <c r="S42" s="55" t="str">
        <f t="shared" ref="S42:S59" si="10">IF(A42="","",VLOOKUP(A42,jeans,5,FALSE))</f>
        <v/>
      </c>
      <c r="T42" s="56" t="str">
        <f t="shared" si="4"/>
        <v/>
      </c>
    </row>
    <row r="43" spans="1:20" ht="18" hidden="1" customHeight="1" x14ac:dyDescent="0.25">
      <c r="A43" s="189"/>
      <c r="B43" s="302"/>
      <c r="C43" s="14" t="str">
        <f t="shared" si="7"/>
        <v/>
      </c>
      <c r="D43" s="14" t="str">
        <f t="shared" si="8"/>
        <v/>
      </c>
      <c r="E43" s="14" t="str">
        <f t="shared" si="9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435">
        <f t="shared" si="2"/>
        <v>0</v>
      </c>
      <c r="R43" s="436"/>
      <c r="S43" s="12" t="str">
        <f t="shared" si="10"/>
        <v/>
      </c>
      <c r="T43" s="4" t="str">
        <f t="shared" si="4"/>
        <v/>
      </c>
    </row>
    <row r="44" spans="1:20" ht="18" hidden="1" customHeight="1" x14ac:dyDescent="0.25">
      <c r="A44" s="189"/>
      <c r="B44" s="302"/>
      <c r="C44" s="14" t="str">
        <f t="shared" si="7"/>
        <v/>
      </c>
      <c r="D44" s="14" t="str">
        <f t="shared" si="8"/>
        <v/>
      </c>
      <c r="E44" s="14" t="str">
        <f t="shared" si="9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435">
        <f t="shared" si="2"/>
        <v>0</v>
      </c>
      <c r="R44" s="436"/>
      <c r="S44" s="12" t="str">
        <f t="shared" si="10"/>
        <v/>
      </c>
      <c r="T44" s="4" t="str">
        <f t="shared" si="4"/>
        <v/>
      </c>
    </row>
    <row r="45" spans="1:20" ht="18" hidden="1" customHeight="1" x14ac:dyDescent="0.25">
      <c r="A45" s="189"/>
      <c r="B45" s="302"/>
      <c r="C45" s="14" t="str">
        <f t="shared" si="7"/>
        <v/>
      </c>
      <c r="D45" s="14" t="str">
        <f t="shared" si="8"/>
        <v/>
      </c>
      <c r="E45" s="14" t="str">
        <f t="shared" si="9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435">
        <f t="shared" si="2"/>
        <v>0</v>
      </c>
      <c r="R45" s="436"/>
      <c r="S45" s="12" t="str">
        <f t="shared" si="10"/>
        <v/>
      </c>
      <c r="T45" s="4" t="str">
        <f t="shared" si="4"/>
        <v/>
      </c>
    </row>
    <row r="46" spans="1:20" ht="18" hidden="1" customHeight="1" x14ac:dyDescent="0.25">
      <c r="A46" s="189"/>
      <c r="B46" s="302"/>
      <c r="C46" s="14" t="str">
        <f t="shared" si="7"/>
        <v/>
      </c>
      <c r="D46" s="14" t="str">
        <f t="shared" si="8"/>
        <v/>
      </c>
      <c r="E46" s="14" t="str">
        <f t="shared" si="9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435">
        <f t="shared" si="2"/>
        <v>0</v>
      </c>
      <c r="R46" s="436"/>
      <c r="S46" s="12" t="str">
        <f t="shared" si="10"/>
        <v/>
      </c>
      <c r="T46" s="4" t="str">
        <f t="shared" si="4"/>
        <v/>
      </c>
    </row>
    <row r="47" spans="1:20" ht="18" hidden="1" customHeight="1" x14ac:dyDescent="0.25">
      <c r="A47" s="189"/>
      <c r="B47" s="302"/>
      <c r="C47" s="14" t="str">
        <f t="shared" si="7"/>
        <v/>
      </c>
      <c r="D47" s="14" t="str">
        <f t="shared" si="8"/>
        <v/>
      </c>
      <c r="E47" s="14" t="str">
        <f t="shared" si="9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435">
        <f t="shared" si="2"/>
        <v>0</v>
      </c>
      <c r="R47" s="436"/>
      <c r="S47" s="12" t="str">
        <f t="shared" si="10"/>
        <v/>
      </c>
      <c r="T47" s="4" t="str">
        <f t="shared" si="4"/>
        <v/>
      </c>
    </row>
    <row r="48" spans="1:20" ht="18" hidden="1" customHeight="1" x14ac:dyDescent="0.25">
      <c r="A48" s="189"/>
      <c r="B48" s="302"/>
      <c r="C48" s="14" t="str">
        <f t="shared" si="7"/>
        <v/>
      </c>
      <c r="D48" s="14" t="str">
        <f t="shared" si="8"/>
        <v/>
      </c>
      <c r="E48" s="14" t="str">
        <f t="shared" si="9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435">
        <f t="shared" si="2"/>
        <v>0</v>
      </c>
      <c r="R48" s="436"/>
      <c r="S48" s="12" t="str">
        <f t="shared" si="10"/>
        <v/>
      </c>
      <c r="T48" s="4" t="str">
        <f t="shared" si="4"/>
        <v/>
      </c>
    </row>
    <row r="49" spans="1:20" ht="18" hidden="1" customHeight="1" x14ac:dyDescent="0.25">
      <c r="A49" s="189"/>
      <c r="B49" s="302"/>
      <c r="C49" s="14" t="str">
        <f t="shared" si="7"/>
        <v/>
      </c>
      <c r="D49" s="14" t="str">
        <f t="shared" si="8"/>
        <v/>
      </c>
      <c r="E49" s="14" t="str">
        <f t="shared" si="9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435">
        <f t="shared" si="2"/>
        <v>0</v>
      </c>
      <c r="R49" s="436"/>
      <c r="S49" s="12" t="str">
        <f t="shared" si="10"/>
        <v/>
      </c>
      <c r="T49" s="4" t="str">
        <f t="shared" si="4"/>
        <v/>
      </c>
    </row>
    <row r="50" spans="1:20" ht="18" hidden="1" customHeight="1" x14ac:dyDescent="0.25">
      <c r="A50" s="189"/>
      <c r="B50" s="302"/>
      <c r="C50" s="14" t="str">
        <f t="shared" si="7"/>
        <v/>
      </c>
      <c r="D50" s="14" t="str">
        <f t="shared" si="8"/>
        <v/>
      </c>
      <c r="E50" s="14" t="str">
        <f t="shared" si="9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435">
        <f t="shared" si="2"/>
        <v>0</v>
      </c>
      <c r="R50" s="436"/>
      <c r="S50" s="12" t="str">
        <f t="shared" si="10"/>
        <v/>
      </c>
      <c r="T50" s="4" t="str">
        <f t="shared" si="4"/>
        <v/>
      </c>
    </row>
    <row r="51" spans="1:20" ht="18" hidden="1" customHeight="1" x14ac:dyDescent="0.25">
      <c r="A51" s="189"/>
      <c r="B51" s="302"/>
      <c r="C51" s="14" t="str">
        <f t="shared" si="7"/>
        <v/>
      </c>
      <c r="D51" s="14" t="str">
        <f t="shared" si="8"/>
        <v/>
      </c>
      <c r="E51" s="14" t="str">
        <f t="shared" si="9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435">
        <f t="shared" si="2"/>
        <v>0</v>
      </c>
      <c r="R51" s="436"/>
      <c r="S51" s="12" t="str">
        <f t="shared" si="10"/>
        <v/>
      </c>
      <c r="T51" s="4" t="str">
        <f t="shared" si="4"/>
        <v/>
      </c>
    </row>
    <row r="52" spans="1:20" ht="18" hidden="1" customHeight="1" x14ac:dyDescent="0.25">
      <c r="A52" s="189"/>
      <c r="B52" s="302"/>
      <c r="C52" s="14" t="str">
        <f t="shared" si="7"/>
        <v/>
      </c>
      <c r="D52" s="14" t="str">
        <f t="shared" si="8"/>
        <v/>
      </c>
      <c r="E52" s="14" t="str">
        <f t="shared" si="9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435">
        <f t="shared" si="2"/>
        <v>0</v>
      </c>
      <c r="R52" s="436"/>
      <c r="S52" s="12" t="str">
        <f t="shared" si="10"/>
        <v/>
      </c>
      <c r="T52" s="4" t="str">
        <f t="shared" si="4"/>
        <v/>
      </c>
    </row>
    <row r="53" spans="1:20" ht="18" hidden="1" customHeight="1" x14ac:dyDescent="0.25">
      <c r="A53" s="189"/>
      <c r="B53" s="302"/>
      <c r="C53" s="14" t="str">
        <f t="shared" si="7"/>
        <v/>
      </c>
      <c r="D53" s="14" t="str">
        <f t="shared" si="8"/>
        <v/>
      </c>
      <c r="E53" s="14" t="str">
        <f t="shared" si="9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435">
        <f t="shared" si="2"/>
        <v>0</v>
      </c>
      <c r="R53" s="436"/>
      <c r="S53" s="12" t="str">
        <f t="shared" si="10"/>
        <v/>
      </c>
      <c r="T53" s="4" t="str">
        <f t="shared" si="4"/>
        <v/>
      </c>
    </row>
    <row r="54" spans="1:20" ht="18" hidden="1" customHeight="1" x14ac:dyDescent="0.25">
      <c r="A54" s="189"/>
      <c r="B54" s="302"/>
      <c r="C54" s="14" t="str">
        <f t="shared" si="7"/>
        <v/>
      </c>
      <c r="D54" s="14" t="str">
        <f t="shared" si="8"/>
        <v/>
      </c>
      <c r="E54" s="14" t="str">
        <f t="shared" si="9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435">
        <f t="shared" si="2"/>
        <v>0</v>
      </c>
      <c r="R54" s="436"/>
      <c r="S54" s="12" t="str">
        <f t="shared" si="10"/>
        <v/>
      </c>
      <c r="T54" s="4" t="str">
        <f t="shared" si="4"/>
        <v/>
      </c>
    </row>
    <row r="55" spans="1:20" ht="18" hidden="1" customHeight="1" x14ac:dyDescent="0.25">
      <c r="A55" s="189"/>
      <c r="B55" s="302"/>
      <c r="C55" s="14" t="str">
        <f t="shared" si="7"/>
        <v/>
      </c>
      <c r="D55" s="14" t="str">
        <f t="shared" si="8"/>
        <v/>
      </c>
      <c r="E55" s="14" t="str">
        <f t="shared" si="9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435">
        <f t="shared" si="2"/>
        <v>0</v>
      </c>
      <c r="R55" s="436"/>
      <c r="S55" s="12" t="str">
        <f t="shared" si="10"/>
        <v/>
      </c>
      <c r="T55" s="4" t="str">
        <f t="shared" si="4"/>
        <v/>
      </c>
    </row>
    <row r="56" spans="1:20" ht="18" hidden="1" customHeight="1" x14ac:dyDescent="0.25">
      <c r="A56" s="189"/>
      <c r="B56" s="302"/>
      <c r="C56" s="14" t="str">
        <f t="shared" si="7"/>
        <v/>
      </c>
      <c r="D56" s="14" t="str">
        <f t="shared" si="8"/>
        <v/>
      </c>
      <c r="E56" s="14" t="str">
        <f t="shared" si="9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435">
        <f t="shared" si="2"/>
        <v>0</v>
      </c>
      <c r="R56" s="436"/>
      <c r="S56" s="12" t="str">
        <f t="shared" si="10"/>
        <v/>
      </c>
      <c r="T56" s="4" t="str">
        <f t="shared" si="4"/>
        <v/>
      </c>
    </row>
    <row r="57" spans="1:20" ht="18" hidden="1" customHeight="1" x14ac:dyDescent="0.25">
      <c r="A57" s="189"/>
      <c r="B57" s="302"/>
      <c r="C57" s="14" t="str">
        <f t="shared" si="7"/>
        <v/>
      </c>
      <c r="D57" s="14" t="str">
        <f t="shared" si="8"/>
        <v/>
      </c>
      <c r="E57" s="14" t="str">
        <f t="shared" si="9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435">
        <f t="shared" si="2"/>
        <v>0</v>
      </c>
      <c r="R57" s="436"/>
      <c r="S57" s="12" t="str">
        <f t="shared" si="10"/>
        <v/>
      </c>
      <c r="T57" s="4" t="str">
        <f t="shared" si="4"/>
        <v/>
      </c>
    </row>
    <row r="58" spans="1:20" ht="18" hidden="1" customHeight="1" x14ac:dyDescent="0.25">
      <c r="A58" s="189"/>
      <c r="B58" s="302"/>
      <c r="C58" s="14" t="str">
        <f t="shared" si="7"/>
        <v/>
      </c>
      <c r="D58" s="14" t="str">
        <f t="shared" si="8"/>
        <v/>
      </c>
      <c r="E58" s="14" t="str">
        <f t="shared" si="9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435">
        <f t="shared" si="2"/>
        <v>0</v>
      </c>
      <c r="R58" s="436"/>
      <c r="S58" s="12" t="str">
        <f t="shared" si="10"/>
        <v/>
      </c>
      <c r="T58" s="4" t="str">
        <f t="shared" si="4"/>
        <v/>
      </c>
    </row>
    <row r="59" spans="1:20" ht="18" hidden="1" customHeight="1" thickBot="1" x14ac:dyDescent="0.3">
      <c r="A59" s="190"/>
      <c r="B59" s="303"/>
      <c r="C59" s="118" t="str">
        <f t="shared" si="7"/>
        <v/>
      </c>
      <c r="D59" s="14" t="str">
        <f t="shared" si="8"/>
        <v/>
      </c>
      <c r="E59" s="14" t="str">
        <f t="shared" si="9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435">
        <f t="shared" si="2"/>
        <v>0</v>
      </c>
      <c r="R59" s="436"/>
      <c r="S59" s="44" t="str">
        <f t="shared" si="10"/>
        <v/>
      </c>
      <c r="T59" s="45" t="str">
        <f t="shared" si="4"/>
        <v/>
      </c>
    </row>
    <row r="60" spans="1:20" ht="18" customHeight="1" thickTop="1" thickBot="1" x14ac:dyDescent="0.3">
      <c r="A60" s="287"/>
      <c r="B60" s="304"/>
      <c r="C60" s="8"/>
      <c r="D60" s="8"/>
      <c r="E60" s="288"/>
      <c r="F60" s="284" t="s">
        <v>668</v>
      </c>
      <c r="G60" s="285"/>
      <c r="H60" s="285"/>
      <c r="I60" s="285"/>
      <c r="J60" s="285"/>
      <c r="K60" s="285"/>
      <c r="L60" s="285"/>
      <c r="M60" s="285"/>
      <c r="N60" s="285"/>
      <c r="O60" s="285"/>
      <c r="P60" s="286"/>
      <c r="Q60" s="455">
        <f>SUM(Q15:Q59)</f>
        <v>0</v>
      </c>
      <c r="R60" s="456"/>
      <c r="S60" s="123" t="s">
        <v>669</v>
      </c>
      <c r="T60" s="314">
        <f>SUM(T15:T59)</f>
        <v>0</v>
      </c>
    </row>
    <row r="61" spans="1:20" ht="18" customHeight="1" x14ac:dyDescent="0.25">
      <c r="A61" s="287"/>
      <c r="B61" s="304" t="s">
        <v>670</v>
      </c>
      <c r="C61" s="8"/>
      <c r="D61" s="8"/>
      <c r="E61" s="8"/>
      <c r="F61" s="309"/>
      <c r="G61" s="309"/>
      <c r="H61" s="309"/>
      <c r="I61" s="309"/>
      <c r="J61" s="309"/>
      <c r="K61" s="309"/>
      <c r="L61" s="309"/>
      <c r="M61" s="309"/>
      <c r="N61" s="309"/>
      <c r="O61" s="309"/>
      <c r="P61" s="310"/>
      <c r="Q61" s="311"/>
      <c r="R61" s="312" t="s">
        <v>671</v>
      </c>
      <c r="S61" s="313">
        <v>0</v>
      </c>
      <c r="T61" s="315">
        <f>+T60*S61</f>
        <v>0</v>
      </c>
    </row>
    <row r="62" spans="1:20" ht="18" customHeight="1" x14ac:dyDescent="0.25">
      <c r="A62" s="287"/>
      <c r="B62" s="304"/>
      <c r="C62" s="8"/>
      <c r="D62" s="8"/>
      <c r="E62" s="8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10"/>
      <c r="Q62" s="311"/>
      <c r="R62" s="312"/>
      <c r="S62" s="313" t="s">
        <v>672</v>
      </c>
      <c r="T62" s="316">
        <f>+T60-T61</f>
        <v>0</v>
      </c>
    </row>
    <row r="63" spans="1:20" ht="18" customHeight="1" x14ac:dyDescent="0.25">
      <c r="A63" s="289"/>
      <c r="B63" s="305" t="s">
        <v>673</v>
      </c>
      <c r="C63" s="290"/>
      <c r="D63" s="290"/>
      <c r="E63" s="290"/>
      <c r="F63" s="290"/>
      <c r="G63" s="290"/>
      <c r="H63" s="290"/>
      <c r="I63" s="290"/>
      <c r="J63" s="290"/>
      <c r="K63" s="290"/>
      <c r="L63" s="290"/>
      <c r="M63" s="290"/>
      <c r="N63" s="290"/>
      <c r="O63" s="290"/>
      <c r="P63" s="291"/>
      <c r="Q63" s="120"/>
      <c r="R63" s="120"/>
      <c r="S63" s="124" t="s">
        <v>674</v>
      </c>
      <c r="T63" s="317">
        <f>T62*19%</f>
        <v>0</v>
      </c>
    </row>
    <row r="64" spans="1:20" ht="18" customHeight="1" thickBot="1" x14ac:dyDescent="0.3">
      <c r="A64" s="281"/>
      <c r="B64" s="306" t="s">
        <v>675</v>
      </c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3"/>
      <c r="Q64" s="255"/>
      <c r="R64" s="256"/>
      <c r="S64" s="125" t="s">
        <v>667</v>
      </c>
      <c r="T64" s="318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191"/>
      <c r="B89" s="30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191"/>
      <c r="B90" s="30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191"/>
      <c r="B91" s="30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191"/>
      <c r="B92" s="30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mergeCells count="66">
    <mergeCell ref="Q60:R60"/>
    <mergeCell ref="E1:G2"/>
    <mergeCell ref="H4:K4"/>
    <mergeCell ref="H9:K9"/>
    <mergeCell ref="Q59:R59"/>
    <mergeCell ref="Q6:R6"/>
    <mergeCell ref="Q44:R44"/>
    <mergeCell ref="Q46:R46"/>
    <mergeCell ref="L10:P10"/>
    <mergeCell ref="H6:K6"/>
    <mergeCell ref="E9:G10"/>
    <mergeCell ref="Q49:R49"/>
    <mergeCell ref="N11:P11"/>
    <mergeCell ref="H2:K2"/>
    <mergeCell ref="Q58:R58"/>
    <mergeCell ref="Q5:R5"/>
    <mergeCell ref="Q14:R14"/>
    <mergeCell ref="Q50:R50"/>
    <mergeCell ref="L5:P5"/>
    <mergeCell ref="L9:P9"/>
    <mergeCell ref="Q48:R48"/>
    <mergeCell ref="Q11:R11"/>
    <mergeCell ref="Q45:R45"/>
    <mergeCell ref="L6:P6"/>
    <mergeCell ref="L8:P8"/>
    <mergeCell ref="Q57:R57"/>
    <mergeCell ref="Q53:R53"/>
    <mergeCell ref="Q47:R47"/>
    <mergeCell ref="Q42:R42"/>
    <mergeCell ref="Q52:R52"/>
    <mergeCell ref="Q56:R56"/>
    <mergeCell ref="Q55:R55"/>
    <mergeCell ref="Q43:R43"/>
    <mergeCell ref="Q54:R54"/>
    <mergeCell ref="H3:K3"/>
    <mergeCell ref="L7:P7"/>
    <mergeCell ref="L1:T1"/>
    <mergeCell ref="S7:T7"/>
    <mergeCell ref="Q51:R51"/>
    <mergeCell ref="S6:T6"/>
    <mergeCell ref="L2:T2"/>
    <mergeCell ref="S5:T5"/>
    <mergeCell ref="H1:K1"/>
    <mergeCell ref="H10:K10"/>
    <mergeCell ref="L3:T3"/>
    <mergeCell ref="H12:K12"/>
    <mergeCell ref="Q7:R7"/>
    <mergeCell ref="H13:K13"/>
    <mergeCell ref="L11:M11"/>
    <mergeCell ref="Q9:R10"/>
    <mergeCell ref="E3:G4"/>
    <mergeCell ref="L13:P13"/>
    <mergeCell ref="Q8:R8"/>
    <mergeCell ref="H5:K5"/>
    <mergeCell ref="L4:T4"/>
    <mergeCell ref="S8:T8"/>
    <mergeCell ref="L12:P12"/>
    <mergeCell ref="H8:K8"/>
    <mergeCell ref="E5:G6"/>
    <mergeCell ref="E11:G12"/>
    <mergeCell ref="H11:K11"/>
    <mergeCell ref="E7:G8"/>
    <mergeCell ref="Q13:R13"/>
    <mergeCell ref="H7:K7"/>
    <mergeCell ref="S9:T10"/>
    <mergeCell ref="Q12:R12"/>
  </mergeCells>
  <conditionalFormatting sqref="A16 A18:A41 A42:B59">
    <cfRule type="duplicateValues" dxfId="47" priority="532"/>
    <cfRule type="duplicateValues" dxfId="46" priority="533"/>
  </conditionalFormatting>
  <conditionalFormatting sqref="A16 A18:A41">
    <cfRule type="duplicateValues" dxfId="45" priority="554"/>
  </conditionalFormatting>
  <conditionalFormatting sqref="A42:B54">
    <cfRule type="duplicateValues" dxfId="44" priority="19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5" customHeight="1" x14ac:dyDescent="0.3">
      <c r="A1" s="319" t="s">
        <v>1</v>
      </c>
      <c r="B1" s="320" t="s">
        <v>3</v>
      </c>
      <c r="C1" s="320" t="s">
        <v>4</v>
      </c>
      <c r="D1" s="320" t="s">
        <v>676</v>
      </c>
      <c r="E1" s="321">
        <v>36</v>
      </c>
      <c r="F1" s="321">
        <v>38</v>
      </c>
      <c r="G1" s="321">
        <v>40</v>
      </c>
      <c r="H1" s="321">
        <v>42</v>
      </c>
      <c r="I1" s="321">
        <v>44</v>
      </c>
      <c r="J1" s="321">
        <v>46</v>
      </c>
      <c r="L1" s="325" t="s">
        <v>1</v>
      </c>
      <c r="M1" s="326" t="s">
        <v>3</v>
      </c>
      <c r="N1" s="326" t="s">
        <v>4</v>
      </c>
      <c r="O1" s="326" t="s">
        <v>676</v>
      </c>
      <c r="P1" s="327">
        <v>36</v>
      </c>
      <c r="Q1" s="327">
        <v>38</v>
      </c>
      <c r="R1" s="327">
        <v>40</v>
      </c>
      <c r="S1" s="327">
        <v>42</v>
      </c>
      <c r="T1" s="327">
        <v>44</v>
      </c>
      <c r="U1" s="327">
        <v>46</v>
      </c>
    </row>
    <row r="2" spans="1:21" ht="15" customHeight="1" x14ac:dyDescent="0.3">
      <c r="A2" s="322">
        <v>423600</v>
      </c>
      <c r="B2" s="323" t="s">
        <v>141</v>
      </c>
      <c r="C2" s="323" t="s">
        <v>183</v>
      </c>
      <c r="D2" s="323"/>
      <c r="E2" s="324">
        <v>24</v>
      </c>
      <c r="F2" s="324">
        <v>46</v>
      </c>
      <c r="G2" s="324">
        <v>42</v>
      </c>
      <c r="H2" s="324">
        <v>41</v>
      </c>
      <c r="I2" s="324">
        <v>32</v>
      </c>
      <c r="J2" s="324">
        <v>25</v>
      </c>
      <c r="L2" s="323">
        <v>432900</v>
      </c>
      <c r="M2" s="323" t="s">
        <v>191</v>
      </c>
      <c r="N2" s="323" t="s">
        <v>186</v>
      </c>
      <c r="O2" s="323"/>
      <c r="P2" s="323">
        <v>50</v>
      </c>
      <c r="Q2" s="323">
        <v>118</v>
      </c>
      <c r="R2" s="323">
        <v>125</v>
      </c>
      <c r="S2" s="323">
        <v>116</v>
      </c>
      <c r="T2" s="323">
        <v>83</v>
      </c>
      <c r="U2" s="323">
        <v>68</v>
      </c>
    </row>
    <row r="3" spans="1:21" ht="15" customHeight="1" x14ac:dyDescent="0.3">
      <c r="A3" s="322">
        <v>422200</v>
      </c>
      <c r="B3" s="323" t="s">
        <v>191</v>
      </c>
      <c r="C3" s="323" t="s">
        <v>192</v>
      </c>
      <c r="D3" s="323"/>
      <c r="E3" s="324">
        <v>13</v>
      </c>
      <c r="F3" s="324">
        <v>60</v>
      </c>
      <c r="G3" s="324">
        <v>53</v>
      </c>
      <c r="H3" s="324">
        <v>48</v>
      </c>
      <c r="I3" s="324">
        <v>31</v>
      </c>
      <c r="J3" s="324"/>
      <c r="L3" s="323">
        <v>431800</v>
      </c>
      <c r="M3" s="323" t="s">
        <v>141</v>
      </c>
      <c r="N3" s="323" t="s">
        <v>677</v>
      </c>
      <c r="O3" s="323"/>
      <c r="P3" s="323">
        <v>56</v>
      </c>
      <c r="Q3" s="323">
        <v>117</v>
      </c>
      <c r="R3" s="323">
        <v>127</v>
      </c>
      <c r="S3" s="323">
        <v>98</v>
      </c>
      <c r="T3" s="323">
        <v>79</v>
      </c>
      <c r="U3" s="323">
        <v>54</v>
      </c>
    </row>
    <row r="4" spans="1:21" ht="15" customHeight="1" x14ac:dyDescent="0.3">
      <c r="A4" s="322">
        <v>423500</v>
      </c>
      <c r="B4" s="323" t="s">
        <v>141</v>
      </c>
      <c r="C4" s="323" t="s">
        <v>199</v>
      </c>
      <c r="D4" s="323"/>
      <c r="E4" s="324">
        <v>8</v>
      </c>
      <c r="F4" s="324">
        <v>31</v>
      </c>
      <c r="G4" s="324">
        <v>31</v>
      </c>
      <c r="H4" s="324">
        <v>31</v>
      </c>
      <c r="I4" s="324">
        <v>26</v>
      </c>
      <c r="J4" s="324">
        <v>11</v>
      </c>
      <c r="L4" s="323">
        <v>430900</v>
      </c>
      <c r="M4" s="323" t="s">
        <v>141</v>
      </c>
      <c r="N4" s="323" t="s">
        <v>105</v>
      </c>
      <c r="O4" s="323"/>
      <c r="P4" s="323">
        <v>18</v>
      </c>
      <c r="Q4" s="323">
        <v>51</v>
      </c>
      <c r="R4" s="323">
        <v>55</v>
      </c>
      <c r="S4" s="323">
        <v>48</v>
      </c>
      <c r="T4" s="323">
        <v>35</v>
      </c>
      <c r="U4" s="323">
        <v>26</v>
      </c>
    </row>
    <row r="5" spans="1:21" ht="15" customHeight="1" x14ac:dyDescent="0.3">
      <c r="A5" s="322">
        <v>420301</v>
      </c>
      <c r="B5" s="323" t="s">
        <v>191</v>
      </c>
      <c r="C5" s="323" t="s">
        <v>192</v>
      </c>
      <c r="D5" s="323"/>
      <c r="E5" s="322">
        <v>7</v>
      </c>
      <c r="F5" s="322">
        <v>24</v>
      </c>
      <c r="G5" s="322">
        <v>27</v>
      </c>
      <c r="H5" s="322">
        <v>29</v>
      </c>
      <c r="I5" s="322">
        <v>14</v>
      </c>
      <c r="J5" s="322">
        <v>4</v>
      </c>
      <c r="L5" s="323">
        <v>432300</v>
      </c>
      <c r="M5" s="323" t="s">
        <v>141</v>
      </c>
      <c r="N5" s="323" t="s">
        <v>41</v>
      </c>
      <c r="O5" s="323"/>
      <c r="P5" s="323">
        <v>56</v>
      </c>
      <c r="Q5" s="323">
        <v>115</v>
      </c>
      <c r="R5" s="323">
        <v>132</v>
      </c>
      <c r="S5" s="323">
        <v>122</v>
      </c>
      <c r="T5" s="323">
        <v>85</v>
      </c>
      <c r="U5" s="323">
        <v>66</v>
      </c>
    </row>
    <row r="6" spans="1:21" ht="15" customHeight="1" x14ac:dyDescent="0.3">
      <c r="A6" s="322">
        <v>420600</v>
      </c>
      <c r="B6" s="323" t="s">
        <v>141</v>
      </c>
      <c r="C6" s="323" t="s">
        <v>199</v>
      </c>
      <c r="D6" s="323"/>
      <c r="E6" s="324">
        <v>24</v>
      </c>
      <c r="F6" s="324">
        <v>3</v>
      </c>
      <c r="G6" s="324"/>
      <c r="H6" s="324">
        <v>10</v>
      </c>
      <c r="I6" s="324">
        <v>18</v>
      </c>
      <c r="J6" s="324">
        <v>8</v>
      </c>
    </row>
    <row r="7" spans="1:21" ht="15" customHeight="1" x14ac:dyDescent="0.3">
      <c r="A7" s="322">
        <v>420100</v>
      </c>
      <c r="B7" s="323" t="s">
        <v>141</v>
      </c>
      <c r="C7" s="323" t="s">
        <v>199</v>
      </c>
      <c r="D7" s="323"/>
      <c r="E7" s="324">
        <v>27</v>
      </c>
      <c r="F7" s="324">
        <v>22</v>
      </c>
      <c r="G7" s="324">
        <v>52</v>
      </c>
      <c r="H7" s="324">
        <v>12</v>
      </c>
      <c r="I7" s="324">
        <v>8</v>
      </c>
      <c r="J7" s="324"/>
    </row>
    <row r="8" spans="1:21" ht="15" customHeight="1" x14ac:dyDescent="0.3">
      <c r="A8" s="322">
        <v>424400</v>
      </c>
      <c r="B8" s="323" t="s">
        <v>141</v>
      </c>
      <c r="C8" s="323" t="s">
        <v>199</v>
      </c>
      <c r="D8" s="323"/>
      <c r="E8" s="324">
        <v>27</v>
      </c>
      <c r="F8" s="324">
        <v>27</v>
      </c>
      <c r="G8" s="324">
        <v>24</v>
      </c>
      <c r="H8" s="324">
        <v>32</v>
      </c>
      <c r="I8" s="324"/>
      <c r="J8" s="324"/>
    </row>
    <row r="9" spans="1:21" ht="15" customHeight="1" x14ac:dyDescent="0.3">
      <c r="A9" s="322">
        <v>422300</v>
      </c>
      <c r="B9" s="323" t="s">
        <v>191</v>
      </c>
      <c r="C9" s="323" t="s">
        <v>105</v>
      </c>
      <c r="D9" s="323"/>
      <c r="E9" s="324">
        <v>18</v>
      </c>
      <c r="F9" s="324">
        <v>19</v>
      </c>
      <c r="G9" s="324">
        <v>11</v>
      </c>
      <c r="H9" s="324">
        <v>19</v>
      </c>
      <c r="I9" s="324">
        <v>16</v>
      </c>
      <c r="J9" s="324"/>
    </row>
    <row r="10" spans="1:21" ht="15" customHeight="1" x14ac:dyDescent="0.3">
      <c r="A10" s="322">
        <v>420300</v>
      </c>
      <c r="B10" s="323" t="s">
        <v>191</v>
      </c>
      <c r="C10" s="323" t="s">
        <v>192</v>
      </c>
      <c r="D10" s="323"/>
      <c r="E10" s="322">
        <v>13</v>
      </c>
      <c r="F10" s="322">
        <v>15</v>
      </c>
      <c r="G10" s="322">
        <v>16</v>
      </c>
      <c r="H10" s="322">
        <v>15</v>
      </c>
      <c r="I10" s="322">
        <v>11</v>
      </c>
      <c r="J10" s="322">
        <v>10</v>
      </c>
    </row>
    <row r="11" spans="1:21" ht="15" customHeight="1" x14ac:dyDescent="0.3">
      <c r="A11" s="322">
        <v>420400</v>
      </c>
      <c r="B11" s="323" t="s">
        <v>191</v>
      </c>
      <c r="C11" s="323" t="s">
        <v>105</v>
      </c>
      <c r="D11" s="323"/>
      <c r="E11" s="324">
        <v>26</v>
      </c>
      <c r="F11" s="324">
        <v>6</v>
      </c>
      <c r="G11" s="324">
        <v>9</v>
      </c>
      <c r="H11" s="324">
        <v>7</v>
      </c>
      <c r="I11" s="324">
        <v>8</v>
      </c>
      <c r="J11" s="324">
        <v>16</v>
      </c>
    </row>
    <row r="12" spans="1:21" ht="15" customHeight="1" x14ac:dyDescent="0.3">
      <c r="A12" s="322">
        <v>423200</v>
      </c>
      <c r="B12" s="323" t="s">
        <v>141</v>
      </c>
      <c r="C12" s="323" t="s">
        <v>186</v>
      </c>
      <c r="D12" s="323"/>
      <c r="E12" s="324">
        <v>13</v>
      </c>
      <c r="F12" s="324">
        <v>1</v>
      </c>
      <c r="G12" s="324">
        <v>17</v>
      </c>
      <c r="H12" s="324">
        <v>14</v>
      </c>
      <c r="I12" s="324">
        <v>12</v>
      </c>
      <c r="J12" s="324">
        <v>14</v>
      </c>
    </row>
    <row r="13" spans="1:21" ht="15" customHeight="1" x14ac:dyDescent="0.3">
      <c r="A13" s="322">
        <v>422500</v>
      </c>
      <c r="B13" s="323" t="s">
        <v>141</v>
      </c>
      <c r="C13" s="323" t="s">
        <v>105</v>
      </c>
      <c r="D13" s="323"/>
      <c r="E13" s="324">
        <v>8</v>
      </c>
      <c r="F13" s="324"/>
      <c r="G13" s="324">
        <v>12</v>
      </c>
      <c r="H13" s="324">
        <v>15</v>
      </c>
      <c r="I13" s="324">
        <v>13</v>
      </c>
      <c r="J13" s="324">
        <v>17</v>
      </c>
    </row>
    <row r="14" spans="1:21" ht="15" customHeight="1" x14ac:dyDescent="0.3">
      <c r="A14" s="322">
        <v>424600</v>
      </c>
      <c r="B14" s="323" t="s">
        <v>141</v>
      </c>
      <c r="C14" s="323" t="s">
        <v>192</v>
      </c>
      <c r="D14" s="323"/>
      <c r="E14" s="324">
        <v>4</v>
      </c>
      <c r="F14" s="324">
        <v>4</v>
      </c>
      <c r="G14" s="324">
        <v>22</v>
      </c>
      <c r="H14" s="324">
        <v>17</v>
      </c>
      <c r="I14" s="324">
        <v>17</v>
      </c>
      <c r="J14" s="324"/>
    </row>
    <row r="15" spans="1:21" ht="15" customHeight="1" x14ac:dyDescent="0.3">
      <c r="A15" s="322">
        <v>422800</v>
      </c>
      <c r="B15" s="323" t="s">
        <v>191</v>
      </c>
      <c r="C15" s="323" t="s">
        <v>105</v>
      </c>
      <c r="D15" s="323"/>
      <c r="E15" s="324"/>
      <c r="F15" s="324">
        <v>4</v>
      </c>
      <c r="G15" s="324">
        <v>29</v>
      </c>
      <c r="H15" s="324"/>
      <c r="I15" s="324">
        <v>28</v>
      </c>
      <c r="J15" s="324"/>
    </row>
    <row r="16" spans="1:21" ht="15" customHeight="1" x14ac:dyDescent="0.3">
      <c r="A16" s="322">
        <v>422000</v>
      </c>
      <c r="B16" s="323" t="s">
        <v>141</v>
      </c>
      <c r="C16" s="323" t="s">
        <v>199</v>
      </c>
      <c r="D16" s="323"/>
      <c r="E16" s="324">
        <v>34</v>
      </c>
      <c r="F16" s="324">
        <v>10</v>
      </c>
      <c r="G16" s="324">
        <v>11</v>
      </c>
      <c r="H16" s="324">
        <v>3</v>
      </c>
      <c r="I16" s="324">
        <v>3</v>
      </c>
      <c r="J16" s="324"/>
    </row>
    <row r="17" spans="1:10" ht="15" customHeight="1" x14ac:dyDescent="0.3">
      <c r="A17" s="322">
        <v>423316</v>
      </c>
      <c r="B17" s="323" t="s">
        <v>141</v>
      </c>
      <c r="C17" s="323" t="s">
        <v>192</v>
      </c>
      <c r="D17" s="323"/>
      <c r="E17" s="324">
        <v>6</v>
      </c>
      <c r="F17" s="324">
        <v>14</v>
      </c>
      <c r="G17" s="324">
        <v>14</v>
      </c>
      <c r="H17" s="324">
        <v>13</v>
      </c>
      <c r="I17" s="324">
        <v>8</v>
      </c>
      <c r="J17" s="324">
        <v>4</v>
      </c>
    </row>
    <row r="18" spans="1:10" ht="15" customHeight="1" x14ac:dyDescent="0.3">
      <c r="A18" s="322">
        <v>422101</v>
      </c>
      <c r="B18" s="323" t="s">
        <v>141</v>
      </c>
      <c r="C18" s="323" t="s">
        <v>199</v>
      </c>
      <c r="D18" s="323"/>
      <c r="E18" s="324">
        <v>14</v>
      </c>
      <c r="F18" s="324">
        <v>1</v>
      </c>
      <c r="G18" s="324">
        <v>15</v>
      </c>
      <c r="H18" s="324">
        <v>9</v>
      </c>
      <c r="I18" s="324">
        <v>14</v>
      </c>
      <c r="J18" s="324"/>
    </row>
    <row r="19" spans="1:10" ht="15" customHeight="1" x14ac:dyDescent="0.3">
      <c r="A19" s="322">
        <v>421400</v>
      </c>
      <c r="B19" s="323" t="s">
        <v>141</v>
      </c>
      <c r="C19" s="323" t="s">
        <v>186</v>
      </c>
      <c r="D19" s="323"/>
      <c r="E19" s="324">
        <v>7</v>
      </c>
      <c r="F19" s="324">
        <v>0</v>
      </c>
      <c r="G19" s="324">
        <v>1</v>
      </c>
      <c r="H19" s="324">
        <v>1</v>
      </c>
      <c r="I19" s="324">
        <v>12</v>
      </c>
      <c r="J19" s="324">
        <v>32</v>
      </c>
    </row>
    <row r="20" spans="1:10" ht="15" customHeight="1" x14ac:dyDescent="0.3">
      <c r="A20" s="322">
        <v>420800</v>
      </c>
      <c r="B20" s="323" t="s">
        <v>141</v>
      </c>
      <c r="C20" s="323" t="s">
        <v>105</v>
      </c>
      <c r="D20" s="323"/>
      <c r="E20" s="322">
        <v>6</v>
      </c>
      <c r="F20" s="322">
        <v>10</v>
      </c>
      <c r="G20" s="322">
        <v>12</v>
      </c>
      <c r="H20" s="322">
        <v>12</v>
      </c>
      <c r="I20" s="322">
        <v>6</v>
      </c>
      <c r="J20" s="324">
        <v>6</v>
      </c>
    </row>
    <row r="21" spans="1:10" ht="15" customHeight="1" x14ac:dyDescent="0.3">
      <c r="A21" s="322">
        <v>421801</v>
      </c>
      <c r="B21" s="323" t="s">
        <v>141</v>
      </c>
      <c r="C21" s="323" t="s">
        <v>105</v>
      </c>
      <c r="D21" s="323"/>
      <c r="E21" s="324"/>
      <c r="F21" s="324"/>
      <c r="G21" s="324">
        <v>2</v>
      </c>
      <c r="H21" s="324">
        <v>3</v>
      </c>
      <c r="I21" s="324">
        <v>13</v>
      </c>
      <c r="J21" s="324">
        <v>10</v>
      </c>
    </row>
    <row r="22" spans="1:10" ht="15" customHeight="1" x14ac:dyDescent="0.3">
      <c r="A22" s="322">
        <v>420160</v>
      </c>
      <c r="B22" s="323" t="s">
        <v>141</v>
      </c>
      <c r="C22" s="323" t="s">
        <v>199</v>
      </c>
      <c r="D22" s="323" t="s">
        <v>678</v>
      </c>
      <c r="E22" s="324">
        <v>7</v>
      </c>
      <c r="F22" s="324">
        <v>12</v>
      </c>
      <c r="G22" s="324">
        <v>9</v>
      </c>
      <c r="H22" s="324">
        <v>10</v>
      </c>
      <c r="I22" s="324">
        <v>6</v>
      </c>
      <c r="J22" s="324">
        <v>5</v>
      </c>
    </row>
    <row r="23" spans="1:10" ht="15" customHeight="1" x14ac:dyDescent="0.3">
      <c r="A23" s="322">
        <v>421100</v>
      </c>
      <c r="B23" s="323" t="s">
        <v>141</v>
      </c>
      <c r="C23" s="323" t="s">
        <v>105</v>
      </c>
      <c r="D23" s="323"/>
      <c r="E23" s="324">
        <v>3</v>
      </c>
      <c r="F23" s="324">
        <v>4</v>
      </c>
      <c r="G23" s="324">
        <v>6</v>
      </c>
      <c r="H23" s="324">
        <v>6</v>
      </c>
      <c r="I23" s="324">
        <v>20</v>
      </c>
      <c r="J23" s="324">
        <v>7</v>
      </c>
    </row>
    <row r="24" spans="1:10" ht="15" customHeight="1" x14ac:dyDescent="0.3">
      <c r="A24" s="322">
        <v>422700</v>
      </c>
      <c r="B24" s="323" t="s">
        <v>141</v>
      </c>
      <c r="C24" s="323" t="s">
        <v>264</v>
      </c>
      <c r="D24" s="323"/>
      <c r="E24" s="324">
        <v>10</v>
      </c>
      <c r="F24" s="324">
        <v>14</v>
      </c>
      <c r="G24" s="324">
        <v>6</v>
      </c>
      <c r="H24" s="324"/>
      <c r="I24" s="324">
        <v>6</v>
      </c>
      <c r="J24" s="324">
        <v>10</v>
      </c>
    </row>
    <row r="25" spans="1:10" ht="15" customHeight="1" x14ac:dyDescent="0.3">
      <c r="A25" s="322">
        <v>423000</v>
      </c>
      <c r="B25" s="323" t="s">
        <v>141</v>
      </c>
      <c r="C25" s="323" t="s">
        <v>183</v>
      </c>
      <c r="D25" s="323"/>
      <c r="E25" s="324">
        <v>10</v>
      </c>
      <c r="F25" s="324"/>
      <c r="G25" s="324"/>
      <c r="H25" s="324">
        <v>4</v>
      </c>
      <c r="I25" s="324">
        <v>21</v>
      </c>
      <c r="J25" s="324">
        <v>9</v>
      </c>
    </row>
    <row r="26" spans="1:10" ht="15" customHeight="1" x14ac:dyDescent="0.3">
      <c r="A26" s="322">
        <v>424900</v>
      </c>
      <c r="B26" s="323" t="s">
        <v>138</v>
      </c>
      <c r="C26" s="323" t="s">
        <v>183</v>
      </c>
      <c r="D26" s="323" t="s">
        <v>679</v>
      </c>
      <c r="E26" s="324">
        <v>4</v>
      </c>
      <c r="F26" s="324">
        <v>12</v>
      </c>
      <c r="G26" s="323">
        <v>13</v>
      </c>
      <c r="H26" s="324">
        <v>6</v>
      </c>
      <c r="I26" s="324">
        <v>3</v>
      </c>
      <c r="J26" s="324">
        <v>0</v>
      </c>
    </row>
    <row r="27" spans="1:10" ht="15" customHeight="1" x14ac:dyDescent="0.3">
      <c r="A27" s="322">
        <v>424900</v>
      </c>
      <c r="B27" s="323" t="s">
        <v>141</v>
      </c>
      <c r="C27" s="323" t="s">
        <v>183</v>
      </c>
      <c r="D27" s="323" t="s">
        <v>680</v>
      </c>
      <c r="E27" s="324">
        <v>9</v>
      </c>
      <c r="F27" s="324">
        <v>14</v>
      </c>
      <c r="G27" s="322">
        <v>15</v>
      </c>
      <c r="H27" s="324">
        <v>6</v>
      </c>
      <c r="I27" s="324">
        <v>4</v>
      </c>
      <c r="J27" s="324">
        <v>4</v>
      </c>
    </row>
    <row r="28" spans="1:10" ht="15" customHeight="1" x14ac:dyDescent="0.3">
      <c r="A28" s="322">
        <v>421000</v>
      </c>
      <c r="B28" s="323" t="s">
        <v>191</v>
      </c>
      <c r="C28" s="323" t="s">
        <v>186</v>
      </c>
      <c r="D28" s="323"/>
      <c r="E28" s="322">
        <v>5</v>
      </c>
      <c r="F28" s="322">
        <v>15</v>
      </c>
      <c r="G28" s="322">
        <v>17</v>
      </c>
      <c r="H28" s="322">
        <v>16</v>
      </c>
      <c r="I28" s="322">
        <v>11</v>
      </c>
      <c r="J28" s="322">
        <v>12</v>
      </c>
    </row>
    <row r="29" spans="1:10" ht="15" customHeight="1" x14ac:dyDescent="0.3">
      <c r="A29" s="322">
        <v>424000</v>
      </c>
      <c r="B29" s="323" t="s">
        <v>141</v>
      </c>
      <c r="C29" s="323" t="s">
        <v>199</v>
      </c>
      <c r="D29" s="323"/>
      <c r="E29" s="324">
        <v>20</v>
      </c>
      <c r="F29" s="324"/>
      <c r="G29" s="324">
        <v>3</v>
      </c>
      <c r="H29" s="324"/>
      <c r="I29" s="324">
        <v>10</v>
      </c>
      <c r="J29" s="324"/>
    </row>
    <row r="30" spans="1:10" ht="15" customHeight="1" x14ac:dyDescent="0.3">
      <c r="A30" s="322">
        <v>422701</v>
      </c>
      <c r="B30" s="323" t="s">
        <v>141</v>
      </c>
      <c r="C30" s="323" t="s">
        <v>264</v>
      </c>
      <c r="D30" s="323"/>
      <c r="E30" s="324">
        <v>1</v>
      </c>
      <c r="F30" s="324"/>
      <c r="G30" s="324"/>
      <c r="H30" s="324">
        <v>4</v>
      </c>
      <c r="I30" s="324">
        <v>11</v>
      </c>
      <c r="J30" s="324">
        <v>14</v>
      </c>
    </row>
    <row r="31" spans="1:10" ht="15" customHeight="1" x14ac:dyDescent="0.3">
      <c r="A31" s="322">
        <v>423448</v>
      </c>
      <c r="B31" s="323" t="s">
        <v>138</v>
      </c>
      <c r="C31" s="323" t="s">
        <v>105</v>
      </c>
      <c r="D31" s="323"/>
      <c r="E31" s="324"/>
      <c r="F31" s="324"/>
      <c r="G31" s="322"/>
      <c r="H31" s="324"/>
      <c r="I31" s="324">
        <v>4</v>
      </c>
      <c r="J31" s="324"/>
    </row>
    <row r="32" spans="1:10" ht="15" customHeight="1" x14ac:dyDescent="0.3">
      <c r="A32" s="322">
        <v>420101</v>
      </c>
      <c r="B32" s="323" t="s">
        <v>141</v>
      </c>
      <c r="C32" s="323" t="s">
        <v>199</v>
      </c>
      <c r="D32" s="323"/>
      <c r="E32" s="324">
        <v>7</v>
      </c>
      <c r="F32" s="324">
        <v>7</v>
      </c>
      <c r="G32" s="324">
        <v>7</v>
      </c>
      <c r="H32" s="324">
        <v>7</v>
      </c>
      <c r="I32" s="324"/>
      <c r="J32" s="324">
        <v>2</v>
      </c>
    </row>
    <row r="33" spans="1:10" ht="15" customHeight="1" x14ac:dyDescent="0.3">
      <c r="A33" s="322">
        <v>424701</v>
      </c>
      <c r="B33" s="323" t="s">
        <v>141</v>
      </c>
      <c r="C33" s="323" t="s">
        <v>264</v>
      </c>
      <c r="D33" s="323"/>
      <c r="E33" s="324">
        <v>2</v>
      </c>
      <c r="F33" s="324"/>
      <c r="G33" s="324">
        <v>13</v>
      </c>
      <c r="H33" s="324"/>
      <c r="I33" s="324">
        <v>13</v>
      </c>
      <c r="J33" s="324"/>
    </row>
    <row r="34" spans="1:10" ht="15" customHeight="1" x14ac:dyDescent="0.3">
      <c r="A34" s="322">
        <v>421901</v>
      </c>
      <c r="B34" s="323" t="s">
        <v>141</v>
      </c>
      <c r="C34" s="323" t="s">
        <v>199</v>
      </c>
      <c r="D34" s="323"/>
      <c r="E34" s="324">
        <v>4</v>
      </c>
      <c r="F34" s="324">
        <v>8</v>
      </c>
      <c r="G34" s="324">
        <v>6</v>
      </c>
      <c r="H34" s="324">
        <v>5</v>
      </c>
      <c r="I34" s="324">
        <v>4</v>
      </c>
      <c r="J34" s="324">
        <v>1</v>
      </c>
    </row>
    <row r="35" spans="1:10" ht="15" customHeight="1" x14ac:dyDescent="0.3">
      <c r="A35" s="322">
        <v>422900</v>
      </c>
      <c r="B35" s="323" t="s">
        <v>141</v>
      </c>
      <c r="C35" s="323" t="s">
        <v>199</v>
      </c>
      <c r="D35" s="323"/>
      <c r="E35" s="324">
        <v>23</v>
      </c>
      <c r="F35" s="324">
        <v>1</v>
      </c>
      <c r="G35" s="324"/>
      <c r="H35" s="324"/>
      <c r="I35" s="324">
        <v>2</v>
      </c>
      <c r="J35" s="324"/>
    </row>
    <row r="36" spans="1:10" ht="15" customHeight="1" x14ac:dyDescent="0.3">
      <c r="A36" s="322">
        <v>421902</v>
      </c>
      <c r="B36" s="323" t="s">
        <v>141</v>
      </c>
      <c r="C36" s="323" t="s">
        <v>199</v>
      </c>
      <c r="D36" s="323"/>
      <c r="E36" s="324">
        <v>2</v>
      </c>
      <c r="F36" s="324">
        <v>6</v>
      </c>
      <c r="G36" s="324">
        <v>6</v>
      </c>
      <c r="H36" s="324">
        <v>5</v>
      </c>
      <c r="I36" s="324">
        <v>4</v>
      </c>
      <c r="J36" s="324">
        <v>2</v>
      </c>
    </row>
    <row r="37" spans="1:10" ht="15" customHeight="1" x14ac:dyDescent="0.3">
      <c r="A37" s="322">
        <v>420501</v>
      </c>
      <c r="B37" s="323" t="s">
        <v>141</v>
      </c>
      <c r="C37" s="323" t="s">
        <v>186</v>
      </c>
      <c r="D37" s="323"/>
      <c r="E37" s="324">
        <v>4</v>
      </c>
      <c r="F37" s="324">
        <v>1</v>
      </c>
      <c r="G37" s="324">
        <v>5</v>
      </c>
      <c r="H37" s="324">
        <v>1</v>
      </c>
      <c r="I37" s="324">
        <v>6</v>
      </c>
      <c r="J37" s="324">
        <v>4</v>
      </c>
    </row>
    <row r="38" spans="1:10" ht="15" customHeight="1" x14ac:dyDescent="0.3">
      <c r="A38" s="322">
        <v>422190</v>
      </c>
      <c r="B38" s="323" t="s">
        <v>141</v>
      </c>
      <c r="C38" s="323" t="s">
        <v>192</v>
      </c>
      <c r="D38" s="323" t="s">
        <v>681</v>
      </c>
      <c r="E38" s="324">
        <v>2</v>
      </c>
      <c r="F38" s="324">
        <v>5</v>
      </c>
      <c r="G38" s="322">
        <v>5</v>
      </c>
      <c r="H38" s="324">
        <v>5</v>
      </c>
      <c r="I38" s="324">
        <v>3</v>
      </c>
      <c r="J38" s="324">
        <v>3</v>
      </c>
    </row>
    <row r="39" spans="1:10" ht="15" customHeight="1" x14ac:dyDescent="0.3">
      <c r="A39" s="322">
        <v>421900</v>
      </c>
      <c r="B39" s="323" t="s">
        <v>141</v>
      </c>
      <c r="C39" s="323" t="s">
        <v>199</v>
      </c>
      <c r="D39" s="323"/>
      <c r="E39" s="324">
        <v>0</v>
      </c>
      <c r="F39" s="324">
        <v>4</v>
      </c>
      <c r="G39" s="324">
        <v>7</v>
      </c>
      <c r="H39" s="324">
        <v>3</v>
      </c>
      <c r="I39" s="324">
        <v>8</v>
      </c>
      <c r="J39" s="324"/>
    </row>
    <row r="40" spans="1:10" ht="15" customHeight="1" x14ac:dyDescent="0.3">
      <c r="A40" s="322">
        <v>423501</v>
      </c>
      <c r="B40" s="323" t="s">
        <v>141</v>
      </c>
      <c r="C40" s="323" t="s">
        <v>199</v>
      </c>
      <c r="D40" s="323"/>
      <c r="E40" s="324">
        <v>2</v>
      </c>
      <c r="F40" s="324">
        <v>6</v>
      </c>
      <c r="G40" s="324">
        <v>1</v>
      </c>
      <c r="H40" s="324">
        <v>6</v>
      </c>
      <c r="I40" s="324">
        <v>2</v>
      </c>
      <c r="J40" s="324">
        <v>6</v>
      </c>
    </row>
    <row r="41" spans="1:10" ht="15" customHeight="1" x14ac:dyDescent="0.3">
      <c r="A41" s="322">
        <v>423308</v>
      </c>
      <c r="B41" s="323" t="s">
        <v>141</v>
      </c>
      <c r="C41" s="323" t="s">
        <v>192</v>
      </c>
      <c r="D41" s="323"/>
      <c r="E41" s="324"/>
      <c r="F41" s="324">
        <v>5</v>
      </c>
      <c r="G41" s="324">
        <v>3</v>
      </c>
      <c r="H41" s="324">
        <v>4</v>
      </c>
      <c r="I41" s="324">
        <v>9</v>
      </c>
      <c r="J41" s="324"/>
    </row>
    <row r="42" spans="1:10" ht="15" customHeight="1" x14ac:dyDescent="0.3">
      <c r="A42" s="322">
        <v>423408</v>
      </c>
      <c r="B42" s="323" t="s">
        <v>141</v>
      </c>
      <c r="C42" s="323" t="s">
        <v>105</v>
      </c>
      <c r="D42" s="323"/>
      <c r="E42" s="324"/>
      <c r="F42" s="324">
        <v>14</v>
      </c>
      <c r="G42" s="324"/>
      <c r="H42" s="324">
        <v>2</v>
      </c>
      <c r="I42" s="324">
        <v>4</v>
      </c>
      <c r="J42" s="324"/>
    </row>
    <row r="43" spans="1:10" ht="15" customHeight="1" x14ac:dyDescent="0.3">
      <c r="A43" s="322">
        <v>424801</v>
      </c>
      <c r="B43" s="323" t="s">
        <v>141</v>
      </c>
      <c r="C43" s="323" t="s">
        <v>264</v>
      </c>
      <c r="D43" s="323"/>
      <c r="E43" s="324">
        <v>4</v>
      </c>
      <c r="F43" s="324"/>
      <c r="G43" s="324">
        <v>10</v>
      </c>
      <c r="H43" s="324"/>
      <c r="I43" s="324">
        <v>9</v>
      </c>
      <c r="J43" s="324"/>
    </row>
    <row r="44" spans="1:10" ht="15" customHeight="1" x14ac:dyDescent="0.3">
      <c r="A44" s="322">
        <v>420900</v>
      </c>
      <c r="B44" s="323" t="s">
        <v>191</v>
      </c>
      <c r="C44" s="323" t="s">
        <v>199</v>
      </c>
      <c r="D44" s="323"/>
      <c r="E44" s="324"/>
      <c r="F44" s="324">
        <v>5</v>
      </c>
      <c r="G44" s="324"/>
      <c r="H44" s="324"/>
      <c r="I44" s="324">
        <v>4</v>
      </c>
      <c r="J44" s="324">
        <v>10</v>
      </c>
    </row>
    <row r="45" spans="1:10" ht="15" customHeight="1" x14ac:dyDescent="0.3">
      <c r="A45" s="322">
        <v>423900</v>
      </c>
      <c r="B45" s="323" t="s">
        <v>141</v>
      </c>
      <c r="C45" s="323" t="s">
        <v>105</v>
      </c>
      <c r="D45" s="323"/>
      <c r="E45" s="324">
        <v>2</v>
      </c>
      <c r="F45" s="324"/>
      <c r="G45" s="324">
        <v>9</v>
      </c>
      <c r="H45" s="324"/>
      <c r="I45" s="324">
        <v>8</v>
      </c>
      <c r="J45" s="324"/>
    </row>
    <row r="46" spans="1:10" ht="15" customHeight="1" x14ac:dyDescent="0.3">
      <c r="A46" s="322">
        <v>422100</v>
      </c>
      <c r="B46" s="323" t="s">
        <v>141</v>
      </c>
      <c r="C46" s="323" t="s">
        <v>192</v>
      </c>
      <c r="D46" s="323"/>
      <c r="E46" s="324"/>
      <c r="F46" s="324"/>
      <c r="G46" s="324"/>
      <c r="H46" s="324"/>
      <c r="I46" s="324">
        <v>5</v>
      </c>
      <c r="J46" s="324">
        <v>13</v>
      </c>
    </row>
    <row r="47" spans="1:10" ht="15" customHeight="1" x14ac:dyDescent="0.3">
      <c r="A47" s="322">
        <v>424500</v>
      </c>
      <c r="B47" s="323" t="s">
        <v>141</v>
      </c>
      <c r="C47" s="323" t="s">
        <v>199</v>
      </c>
      <c r="D47" s="323"/>
      <c r="E47" s="324">
        <v>4</v>
      </c>
      <c r="F47" s="324"/>
      <c r="G47" s="324"/>
      <c r="H47" s="324">
        <v>3</v>
      </c>
      <c r="I47" s="324">
        <v>3</v>
      </c>
      <c r="J47" s="324"/>
    </row>
    <row r="48" spans="1:10" ht="15" customHeight="1" x14ac:dyDescent="0.3">
      <c r="A48" s="322">
        <v>424700</v>
      </c>
      <c r="B48" s="323" t="s">
        <v>141</v>
      </c>
      <c r="C48" s="323" t="s">
        <v>264</v>
      </c>
      <c r="D48" s="323"/>
      <c r="E48" s="324">
        <v>11</v>
      </c>
      <c r="F48" s="324">
        <v>1</v>
      </c>
      <c r="G48" s="324"/>
      <c r="H48" s="324"/>
      <c r="I48" s="324"/>
      <c r="J48" s="324">
        <v>5</v>
      </c>
    </row>
    <row r="49" spans="1:10" ht="15" customHeight="1" x14ac:dyDescent="0.3">
      <c r="A49" s="322">
        <v>420802</v>
      </c>
      <c r="B49" s="323" t="s">
        <v>141</v>
      </c>
      <c r="C49" s="323" t="s">
        <v>105</v>
      </c>
      <c r="D49" s="323"/>
      <c r="E49" s="323"/>
      <c r="F49" s="324">
        <v>1</v>
      </c>
      <c r="G49" s="324">
        <v>5</v>
      </c>
      <c r="H49" s="324">
        <v>5</v>
      </c>
      <c r="I49" s="324">
        <v>3</v>
      </c>
      <c r="J49" s="324">
        <v>3</v>
      </c>
    </row>
    <row r="50" spans="1:10" ht="15" customHeight="1" x14ac:dyDescent="0.3">
      <c r="A50" s="322">
        <v>420200</v>
      </c>
      <c r="B50" s="323" t="s">
        <v>141</v>
      </c>
      <c r="C50" s="323" t="s">
        <v>264</v>
      </c>
      <c r="D50" s="323"/>
      <c r="E50" s="324"/>
      <c r="F50" s="324">
        <v>1</v>
      </c>
      <c r="G50" s="324">
        <v>1</v>
      </c>
      <c r="H50" s="324"/>
      <c r="I50" s="324">
        <v>2</v>
      </c>
      <c r="J50" s="324">
        <v>11</v>
      </c>
    </row>
    <row r="51" spans="1:10" ht="15" customHeight="1" x14ac:dyDescent="0.3">
      <c r="A51" s="322">
        <v>421301</v>
      </c>
      <c r="B51" s="323" t="s">
        <v>141</v>
      </c>
      <c r="C51" s="323" t="s">
        <v>186</v>
      </c>
      <c r="D51" s="323"/>
      <c r="E51" s="324">
        <v>3</v>
      </c>
      <c r="F51" s="324"/>
      <c r="G51" s="324">
        <v>6</v>
      </c>
      <c r="H51" s="324">
        <v>2</v>
      </c>
      <c r="I51" s="324">
        <v>4</v>
      </c>
      <c r="J51" s="324"/>
    </row>
    <row r="52" spans="1:10" ht="15" customHeight="1" x14ac:dyDescent="0.3">
      <c r="A52" s="322">
        <v>424300</v>
      </c>
      <c r="B52" s="323" t="s">
        <v>141</v>
      </c>
      <c r="C52" s="323" t="s">
        <v>199</v>
      </c>
      <c r="D52" s="323"/>
      <c r="E52" s="324"/>
      <c r="F52" s="324">
        <v>5</v>
      </c>
      <c r="G52" s="324">
        <v>2</v>
      </c>
      <c r="H52" s="324">
        <v>3</v>
      </c>
      <c r="I52" s="324"/>
      <c r="J52" s="324">
        <v>6</v>
      </c>
    </row>
    <row r="53" spans="1:10" ht="15" customHeight="1" x14ac:dyDescent="0.3">
      <c r="A53" s="322">
        <v>421402</v>
      </c>
      <c r="B53" s="323" t="s">
        <v>141</v>
      </c>
      <c r="C53" s="323" t="s">
        <v>186</v>
      </c>
      <c r="D53" s="323"/>
      <c r="E53" s="324"/>
      <c r="F53" s="324">
        <v>3</v>
      </c>
      <c r="G53" s="324">
        <v>1</v>
      </c>
      <c r="H53" s="324">
        <v>4</v>
      </c>
      <c r="I53" s="324">
        <v>3</v>
      </c>
      <c r="J53" s="324">
        <v>2</v>
      </c>
    </row>
    <row r="54" spans="1:10" ht="15" customHeight="1" x14ac:dyDescent="0.3">
      <c r="A54" s="322">
        <v>425600</v>
      </c>
      <c r="B54" s="323" t="s">
        <v>141</v>
      </c>
      <c r="C54" s="323" t="s">
        <v>183</v>
      </c>
      <c r="D54" s="323"/>
      <c r="E54" s="322">
        <v>2</v>
      </c>
      <c r="F54" s="322"/>
      <c r="G54" s="322"/>
      <c r="H54" s="322"/>
      <c r="I54" s="322">
        <v>2</v>
      </c>
      <c r="J54" s="322">
        <v>7</v>
      </c>
    </row>
    <row r="55" spans="1:10" ht="15" customHeight="1" x14ac:dyDescent="0.3">
      <c r="A55" s="322">
        <v>423304</v>
      </c>
      <c r="B55" s="323" t="s">
        <v>141</v>
      </c>
      <c r="C55" s="323" t="s">
        <v>192</v>
      </c>
      <c r="D55" s="323"/>
      <c r="E55" s="324"/>
      <c r="F55" s="324"/>
      <c r="G55" s="322"/>
      <c r="H55" s="324"/>
      <c r="I55" s="324">
        <v>6</v>
      </c>
      <c r="J55" s="324">
        <v>2</v>
      </c>
    </row>
    <row r="56" spans="1:10" ht="15" customHeight="1" x14ac:dyDescent="0.3">
      <c r="A56" s="322">
        <v>421300</v>
      </c>
      <c r="B56" s="323" t="s">
        <v>141</v>
      </c>
      <c r="C56" s="323" t="s">
        <v>186</v>
      </c>
      <c r="D56" s="323"/>
      <c r="E56" s="324">
        <v>2</v>
      </c>
      <c r="F56" s="324"/>
      <c r="G56" s="324"/>
      <c r="H56" s="324">
        <v>4</v>
      </c>
      <c r="I56" s="324"/>
      <c r="J56" s="324">
        <v>4</v>
      </c>
    </row>
    <row r="57" spans="1:10" ht="15" customHeight="1" x14ac:dyDescent="0.3">
      <c r="A57" s="322">
        <v>424960</v>
      </c>
      <c r="B57" s="323" t="s">
        <v>141</v>
      </c>
      <c r="C57" s="323" t="s">
        <v>183</v>
      </c>
      <c r="D57" s="323"/>
      <c r="E57" s="324">
        <v>1</v>
      </c>
      <c r="F57" s="324">
        <v>2</v>
      </c>
      <c r="G57" s="322">
        <v>2</v>
      </c>
      <c r="H57" s="324">
        <v>2</v>
      </c>
      <c r="I57" s="324">
        <v>1</v>
      </c>
      <c r="J57" s="324">
        <v>1</v>
      </c>
    </row>
    <row r="58" spans="1:10" ht="15" customHeight="1" x14ac:dyDescent="0.3">
      <c r="A58" s="322">
        <v>421800</v>
      </c>
      <c r="B58" s="323" t="s">
        <v>141</v>
      </c>
      <c r="C58" s="323" t="s">
        <v>105</v>
      </c>
      <c r="D58" s="323"/>
      <c r="E58" s="324"/>
      <c r="F58" s="324"/>
      <c r="G58" s="324">
        <v>3</v>
      </c>
      <c r="H58" s="324">
        <v>2</v>
      </c>
      <c r="I58" s="324">
        <v>2</v>
      </c>
      <c r="J58" s="324">
        <v>1</v>
      </c>
    </row>
    <row r="59" spans="1:10" ht="15" customHeight="1" x14ac:dyDescent="0.3">
      <c r="A59" s="322">
        <v>423348</v>
      </c>
      <c r="B59" s="323" t="s">
        <v>141</v>
      </c>
      <c r="C59" s="323" t="s">
        <v>192</v>
      </c>
      <c r="D59" s="323"/>
      <c r="E59" s="324"/>
      <c r="F59" s="324">
        <v>2</v>
      </c>
      <c r="G59" s="322">
        <v>2</v>
      </c>
      <c r="H59" s="324">
        <v>1</v>
      </c>
      <c r="I59" s="324">
        <v>3</v>
      </c>
      <c r="J59" s="324"/>
    </row>
    <row r="60" spans="1:10" ht="15" customHeight="1" x14ac:dyDescent="0.3">
      <c r="A60" s="322">
        <v>422601</v>
      </c>
      <c r="B60" s="323" t="s">
        <v>191</v>
      </c>
      <c r="C60" s="323" t="s">
        <v>199</v>
      </c>
      <c r="D60" s="323"/>
      <c r="E60" s="324"/>
      <c r="F60" s="324"/>
      <c r="G60" s="324"/>
      <c r="H60" s="324"/>
      <c r="I60" s="324">
        <v>7</v>
      </c>
      <c r="J60" s="324"/>
    </row>
    <row r="61" spans="1:10" ht="15" customHeight="1" x14ac:dyDescent="0.3">
      <c r="A61" s="322">
        <v>421401</v>
      </c>
      <c r="B61" s="323" t="s">
        <v>141</v>
      </c>
      <c r="C61" s="323" t="s">
        <v>186</v>
      </c>
      <c r="D61" s="323"/>
      <c r="E61" s="324"/>
      <c r="F61" s="324">
        <v>2</v>
      </c>
      <c r="G61" s="324">
        <v>4</v>
      </c>
      <c r="H61" s="324"/>
      <c r="I61" s="324"/>
      <c r="J61" s="324">
        <v>1</v>
      </c>
    </row>
    <row r="62" spans="1:10" ht="15" customHeight="1" x14ac:dyDescent="0.3">
      <c r="A62" s="322">
        <v>421001</v>
      </c>
      <c r="B62" s="323" t="s">
        <v>191</v>
      </c>
      <c r="C62" s="323" t="s">
        <v>264</v>
      </c>
      <c r="D62" s="323"/>
      <c r="E62" s="323"/>
      <c r="F62" s="323"/>
      <c r="G62" s="323">
        <v>2</v>
      </c>
      <c r="H62" s="323">
        <v>1</v>
      </c>
      <c r="I62" s="323">
        <v>1</v>
      </c>
      <c r="J62" s="323">
        <v>2</v>
      </c>
    </row>
    <row r="63" spans="1:10" ht="15" customHeight="1" x14ac:dyDescent="0.3">
      <c r="A63" s="322">
        <v>420500</v>
      </c>
      <c r="B63" s="323" t="s">
        <v>138</v>
      </c>
      <c r="C63" s="323" t="s">
        <v>186</v>
      </c>
      <c r="D63" s="323"/>
      <c r="E63" s="322"/>
      <c r="F63" s="322">
        <v>1</v>
      </c>
      <c r="G63" s="322">
        <v>2</v>
      </c>
      <c r="H63" s="324"/>
      <c r="I63" s="322">
        <v>2</v>
      </c>
      <c r="J63" s="324"/>
    </row>
    <row r="64" spans="1:10" ht="15" customHeight="1" x14ac:dyDescent="0.3">
      <c r="A64" s="322">
        <v>420402</v>
      </c>
      <c r="B64" s="323" t="s">
        <v>191</v>
      </c>
      <c r="C64" s="323" t="s">
        <v>105</v>
      </c>
      <c r="D64" s="323"/>
      <c r="E64" s="324"/>
      <c r="F64" s="324"/>
      <c r="G64" s="324"/>
      <c r="H64" s="324"/>
      <c r="I64" s="324">
        <v>5</v>
      </c>
      <c r="J64" s="324"/>
    </row>
    <row r="65" spans="1:10" ht="15" customHeight="1" x14ac:dyDescent="0.3">
      <c r="A65" s="322">
        <v>423416</v>
      </c>
      <c r="B65" s="323" t="s">
        <v>138</v>
      </c>
      <c r="C65" s="323" t="s">
        <v>105</v>
      </c>
      <c r="D65" s="323"/>
      <c r="E65" s="324">
        <v>1</v>
      </c>
      <c r="F65" s="324"/>
      <c r="G65" s="324">
        <v>1</v>
      </c>
      <c r="H65" s="324"/>
      <c r="I65" s="324">
        <v>2</v>
      </c>
      <c r="J65" s="324"/>
    </row>
    <row r="66" spans="1:10" ht="15" customHeight="1" x14ac:dyDescent="0.3">
      <c r="A66" s="322">
        <v>422600</v>
      </c>
      <c r="B66" s="323" t="s">
        <v>294</v>
      </c>
      <c r="C66" s="323" t="s">
        <v>199</v>
      </c>
      <c r="D66" s="323"/>
      <c r="E66" s="322"/>
      <c r="F66" s="322"/>
      <c r="G66" s="322"/>
      <c r="H66" s="322"/>
      <c r="I66" s="322"/>
      <c r="J66" s="322">
        <v>3</v>
      </c>
    </row>
    <row r="67" spans="1:10" ht="15" customHeight="1" x14ac:dyDescent="0.3">
      <c r="A67" s="322">
        <v>423309</v>
      </c>
      <c r="B67" s="323" t="s">
        <v>141</v>
      </c>
      <c r="C67" s="323" t="s">
        <v>192</v>
      </c>
      <c r="D67" s="323"/>
      <c r="E67" s="324"/>
      <c r="F67" s="324">
        <v>1</v>
      </c>
      <c r="G67" s="324">
        <v>1</v>
      </c>
      <c r="H67" s="324">
        <v>1</v>
      </c>
      <c r="I67" s="324"/>
      <c r="J67" s="324"/>
    </row>
    <row r="68" spans="1:10" ht="15" customHeight="1" x14ac:dyDescent="0.3">
      <c r="A68" s="322">
        <v>422400</v>
      </c>
      <c r="B68" s="323" t="s">
        <v>191</v>
      </c>
      <c r="C68" s="323" t="s">
        <v>186</v>
      </c>
      <c r="D68" s="323"/>
      <c r="E68" s="322"/>
      <c r="F68" s="322"/>
      <c r="G68" s="322"/>
      <c r="H68" s="322"/>
      <c r="I68" s="322">
        <v>2</v>
      </c>
      <c r="J68" s="322"/>
    </row>
    <row r="69" spans="1:10" ht="15" customHeight="1" x14ac:dyDescent="0.3">
      <c r="A69" s="322">
        <v>422401</v>
      </c>
      <c r="B69" s="323" t="s">
        <v>191</v>
      </c>
      <c r="C69" s="323" t="s">
        <v>186</v>
      </c>
      <c r="D69" s="323"/>
      <c r="E69" s="323"/>
      <c r="F69" s="323"/>
      <c r="G69" s="323"/>
      <c r="H69" s="323"/>
      <c r="I69" s="323"/>
      <c r="J69" s="323"/>
    </row>
    <row r="70" spans="1:10" ht="15" customHeight="1" x14ac:dyDescent="0.3">
      <c r="A70" s="322">
        <v>423800</v>
      </c>
      <c r="B70" s="323" t="s">
        <v>141</v>
      </c>
      <c r="C70" s="323" t="s">
        <v>183</v>
      </c>
      <c r="D70" s="323" t="s">
        <v>682</v>
      </c>
      <c r="E70" s="322"/>
      <c r="F70" s="322"/>
      <c r="G70" s="322"/>
      <c r="H70" s="322"/>
      <c r="I70" s="322"/>
      <c r="J70" s="322"/>
    </row>
    <row r="71" spans="1:10" ht="15" customHeight="1" x14ac:dyDescent="0.3">
      <c r="A71" s="322">
        <v>424200</v>
      </c>
      <c r="B71" s="323" t="s">
        <v>141</v>
      </c>
      <c r="C71" s="323" t="s">
        <v>183</v>
      </c>
      <c r="D71" s="323"/>
      <c r="E71" s="322"/>
      <c r="F71" s="322">
        <v>1</v>
      </c>
      <c r="G71" s="322"/>
      <c r="H71" s="322">
        <v>9</v>
      </c>
      <c r="I71" s="322">
        <v>1</v>
      </c>
      <c r="J71" s="322">
        <v>3</v>
      </c>
    </row>
    <row r="72" spans="1:10" ht="15" customHeight="1" x14ac:dyDescent="0.3">
      <c r="A72" s="322">
        <v>423409</v>
      </c>
      <c r="B72" s="323" t="s">
        <v>138</v>
      </c>
      <c r="C72" s="323" t="s">
        <v>105</v>
      </c>
      <c r="D72" s="323"/>
      <c r="E72" s="324"/>
      <c r="F72" s="324"/>
      <c r="G72" s="324"/>
      <c r="H72" s="324"/>
      <c r="I72" s="324"/>
      <c r="J72" s="324"/>
    </row>
    <row r="73" spans="1:10" ht="15" customHeight="1" x14ac:dyDescent="0.3">
      <c r="A73" s="322">
        <v>423404</v>
      </c>
      <c r="B73" s="323" t="s">
        <v>141</v>
      </c>
      <c r="C73" s="323" t="s">
        <v>105</v>
      </c>
      <c r="D73" s="323"/>
      <c r="E73" s="324"/>
      <c r="F73" s="324"/>
      <c r="G73" s="324"/>
      <c r="H73" s="324"/>
      <c r="I73" s="324"/>
      <c r="J73" s="324"/>
    </row>
    <row r="74" spans="1:10" ht="15" customHeight="1" x14ac:dyDescent="0.3">
      <c r="A74" s="322">
        <v>420801</v>
      </c>
      <c r="B74" s="323" t="s">
        <v>141</v>
      </c>
      <c r="C74" s="323" t="s">
        <v>105</v>
      </c>
      <c r="D74" s="323"/>
      <c r="E74" s="323"/>
      <c r="F74" s="322"/>
      <c r="G74" s="322"/>
      <c r="H74" s="322"/>
      <c r="I74" s="322"/>
      <c r="J74" s="324"/>
    </row>
    <row r="75" spans="1:10" ht="15" customHeight="1" x14ac:dyDescent="0.3">
      <c r="A75" s="322">
        <v>420160</v>
      </c>
      <c r="B75" s="323" t="s">
        <v>138</v>
      </c>
      <c r="C75" s="323" t="s">
        <v>199</v>
      </c>
      <c r="D75" s="323" t="s">
        <v>683</v>
      </c>
      <c r="E75" s="324"/>
      <c r="F75" s="324"/>
      <c r="G75" s="324"/>
      <c r="H75" s="324"/>
      <c r="I75" s="324"/>
      <c r="J75" s="3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mc:Ignorable="x14ac xr xr2 xr3" xr:uid="{00000000-0001-0000-0400-000000000000}">
  <sheetPr codeName="Hoja2">
    <pageSetUpPr fitToPage="1"/>
  </sheetPr>
  <dimension ref="A1:R575"/>
  <sheetViews>
    <sheetView showGridLines="0" topLeftCell="A54" zoomScaleNormal="100" workbookViewId="0">
      <selection activeCell="G21" sqref="G21"/>
    </sheetView>
  </sheetViews>
  <sheetFormatPr baseColWidth="10" defaultColWidth="11.44140625" defaultRowHeight="15.6" x14ac:dyDescent="0.3"/>
  <cols>
    <col min="1" max="1" width="14.33203125" style="221" bestFit="1" customWidth="1"/>
    <col min="2" max="2" width="13.44140625" style="295" bestFit="1" customWidth="1"/>
    <col min="3" max="3" width="78.44140625" style="377" customWidth="1"/>
    <col min="4" max="4" width="25" style="46" customWidth="1"/>
    <col min="5" max="5" width="16" style="46" customWidth="1"/>
    <col min="6" max="6" width="9.6640625" style="47" customWidth="1"/>
    <col min="7" max="7" width="11.44140625" style="46" customWidth="1"/>
    <col min="8" max="8" width="19.6640625" style="46" customWidth="1"/>
    <col min="9" max="9" width="40.33203125" style="46" bestFit="1" customWidth="1"/>
    <col min="10" max="14" width="11.44140625" style="46" customWidth="1"/>
    <col min="15" max="15" width="19.5546875" style="46" customWidth="1"/>
    <col min="16" max="16" width="31.5546875" style="46" customWidth="1"/>
    <col min="17" max="17" width="11.44140625" style="46" customWidth="1"/>
    <col min="18" max="16384" width="11.44140625" style="46"/>
  </cols>
  <sheetData>
    <row r="1" spans="1:6" s="138" customFormat="1" ht="21.6" customHeight="1" x14ac:dyDescent="0.3">
      <c r="A1" s="222" t="s">
        <v>0</v>
      </c>
      <c r="B1" s="222" t="s">
        <v>1</v>
      </c>
      <c r="C1" s="365" t="s">
        <v>2</v>
      </c>
      <c r="D1" s="139" t="s">
        <v>3</v>
      </c>
      <c r="E1" s="140" t="s">
        <v>4</v>
      </c>
      <c r="F1" s="139" t="s">
        <v>5</v>
      </c>
    </row>
    <row r="2" spans="1:6" ht="19.2" customHeight="1" x14ac:dyDescent="0.3">
      <c r="A2" s="223"/>
      <c r="B2" s="362">
        <v>440100</v>
      </c>
      <c r="C2" s="367"/>
      <c r="D2" s="358" t="s">
        <v>141</v>
      </c>
      <c r="E2" s="358" t="s">
        <v>199</v>
      </c>
      <c r="F2" s="29"/>
    </row>
    <row r="3" spans="1:6" ht="19.2" customHeight="1" x14ac:dyDescent="0.3">
      <c r="A3" s="223"/>
      <c r="B3" s="381">
        <v>440200</v>
      </c>
      <c r="C3" s="389" t="s">
        <v>522</v>
      </c>
      <c r="D3" s="383" t="s">
        <v>138</v>
      </c>
      <c r="E3" s="383" t="s">
        <v>523</v>
      </c>
      <c r="F3" s="384">
        <v>26990</v>
      </c>
    </row>
    <row r="4" spans="1:6" ht="19.2" customHeight="1" x14ac:dyDescent="0.3">
      <c r="A4" s="223"/>
      <c r="B4" s="362">
        <v>440300</v>
      </c>
      <c r="C4" s="367"/>
      <c r="D4" s="358" t="s">
        <v>141</v>
      </c>
      <c r="E4" s="358" t="s">
        <v>186</v>
      </c>
      <c r="F4" s="29"/>
    </row>
    <row r="5" spans="1:6" ht="19.2" customHeight="1" x14ac:dyDescent="0.3">
      <c r="A5" s="223"/>
      <c r="B5" s="362">
        <v>440400</v>
      </c>
      <c r="C5" s="367"/>
      <c r="D5" s="358" t="s">
        <v>141</v>
      </c>
      <c r="E5" s="358" t="s">
        <v>183</v>
      </c>
      <c r="F5" s="29"/>
    </row>
    <row r="6" spans="1:6" ht="19.2" customHeight="1" x14ac:dyDescent="0.3">
      <c r="A6" s="223"/>
      <c r="B6" s="362">
        <v>440500</v>
      </c>
      <c r="C6" s="367"/>
      <c r="D6" s="358" t="s">
        <v>138</v>
      </c>
      <c r="E6" s="358" t="s">
        <v>264</v>
      </c>
      <c r="F6" s="29"/>
    </row>
    <row r="7" spans="1:6" ht="19.2" customHeight="1" x14ac:dyDescent="0.3">
      <c r="A7" s="223"/>
      <c r="B7" s="362">
        <v>440600</v>
      </c>
      <c r="C7" s="367" t="s">
        <v>524</v>
      </c>
      <c r="D7" s="358" t="s">
        <v>141</v>
      </c>
      <c r="E7" s="358" t="s">
        <v>199</v>
      </c>
      <c r="F7" s="29">
        <v>24990</v>
      </c>
    </row>
    <row r="8" spans="1:6" ht="19.2" customHeight="1" x14ac:dyDescent="0.3">
      <c r="A8" s="223"/>
      <c r="B8" s="397">
        <v>440700</v>
      </c>
      <c r="C8" s="382" t="s">
        <v>525</v>
      </c>
      <c r="D8" s="383" t="s">
        <v>138</v>
      </c>
      <c r="E8" s="383" t="s">
        <v>183</v>
      </c>
      <c r="F8" s="384">
        <v>26990</v>
      </c>
    </row>
    <row r="9" spans="1:6" ht="19.2" customHeight="1" x14ac:dyDescent="0.3">
      <c r="A9" s="223"/>
      <c r="B9" s="362">
        <v>440800</v>
      </c>
      <c r="C9" s="171"/>
      <c r="D9" s="358" t="s">
        <v>141</v>
      </c>
      <c r="E9" s="358" t="s">
        <v>183</v>
      </c>
      <c r="F9" s="29"/>
    </row>
    <row r="10" spans="1:6" ht="19.2" customHeight="1" x14ac:dyDescent="0.3">
      <c r="A10" s="224"/>
      <c r="B10" s="362">
        <v>440900</v>
      </c>
      <c r="C10" s="171"/>
      <c r="D10" s="358" t="s">
        <v>141</v>
      </c>
      <c r="E10" s="358" t="s">
        <v>183</v>
      </c>
      <c r="F10" s="29"/>
    </row>
    <row r="11" spans="1:6" ht="19.2" customHeight="1" x14ac:dyDescent="0.3">
      <c r="A11" s="224"/>
      <c r="B11" s="362">
        <v>441000</v>
      </c>
      <c r="C11" s="171"/>
      <c r="D11" s="358" t="s">
        <v>191</v>
      </c>
      <c r="E11" s="358" t="s">
        <v>41</v>
      </c>
      <c r="F11" s="29"/>
    </row>
    <row r="12" spans="1:6" ht="19.2" customHeight="1" x14ac:dyDescent="0.3">
      <c r="A12" s="223"/>
      <c r="B12" s="362">
        <v>441100</v>
      </c>
      <c r="C12" s="171"/>
      <c r="D12" s="358" t="s">
        <v>141</v>
      </c>
      <c r="E12" s="358" t="s">
        <v>183</v>
      </c>
      <c r="F12" s="29"/>
    </row>
    <row r="13" spans="1:6" ht="19.2" customHeight="1" x14ac:dyDescent="0.3">
      <c r="A13" s="223"/>
      <c r="B13" s="397">
        <v>441200</v>
      </c>
      <c r="C13" s="382" t="s">
        <v>526</v>
      </c>
      <c r="D13" s="388" t="s">
        <v>141</v>
      </c>
      <c r="E13" s="388" t="s">
        <v>527</v>
      </c>
      <c r="F13" s="384">
        <v>26990</v>
      </c>
    </row>
    <row r="14" spans="1:6" ht="19.2" customHeight="1" x14ac:dyDescent="0.3">
      <c r="A14" s="223"/>
      <c r="B14" s="381">
        <v>441300</v>
      </c>
      <c r="C14" s="382" t="s">
        <v>528</v>
      </c>
      <c r="D14" s="383" t="s">
        <v>138</v>
      </c>
      <c r="E14" s="383" t="s">
        <v>199</v>
      </c>
      <c r="F14" s="384">
        <v>24990</v>
      </c>
    </row>
    <row r="15" spans="1:6" ht="19.2" customHeight="1" x14ac:dyDescent="0.3">
      <c r="A15" s="223"/>
      <c r="B15" s="381">
        <v>441400</v>
      </c>
      <c r="C15" s="382" t="s">
        <v>529</v>
      </c>
      <c r="D15" s="383" t="s">
        <v>138</v>
      </c>
      <c r="E15" s="383" t="s">
        <v>186</v>
      </c>
      <c r="F15" s="384">
        <v>25990</v>
      </c>
    </row>
    <row r="16" spans="1:6" ht="19.2" customHeight="1" x14ac:dyDescent="0.3">
      <c r="A16" s="223"/>
      <c r="B16" s="381">
        <v>441401</v>
      </c>
      <c r="C16" s="382" t="s">
        <v>531</v>
      </c>
      <c r="D16" s="383" t="s">
        <v>138</v>
      </c>
      <c r="E16" s="383" t="s">
        <v>186</v>
      </c>
      <c r="F16" s="384">
        <v>25990</v>
      </c>
    </row>
    <row r="17" spans="1:11" ht="19.2" customHeight="1" x14ac:dyDescent="0.3">
      <c r="A17" s="223"/>
      <c r="B17" s="362">
        <v>441500</v>
      </c>
      <c r="C17" s="171" t="s">
        <v>2212</v>
      </c>
      <c r="D17" s="358"/>
      <c r="E17" s="358"/>
      <c r="F17" s="29">
        <v>29990</v>
      </c>
    </row>
    <row r="18" spans="1:11" ht="19.2" customHeight="1" x14ac:dyDescent="0.3">
      <c r="A18" s="223"/>
      <c r="B18" s="362">
        <v>441501</v>
      </c>
      <c r="C18" s="171" t="s">
        <v>2211</v>
      </c>
      <c r="D18" s="358"/>
      <c r="E18" s="358"/>
      <c r="F18" s="29">
        <v>29990</v>
      </c>
    </row>
    <row r="19" spans="1:11" ht="19.2" customHeight="1" x14ac:dyDescent="0.3">
      <c r="A19" s="223"/>
      <c r="B19" s="397">
        <v>441600</v>
      </c>
      <c r="C19" s="382" t="s">
        <v>532</v>
      </c>
      <c r="D19" s="383" t="s">
        <v>138</v>
      </c>
      <c r="E19" s="383" t="s">
        <v>41</v>
      </c>
      <c r="F19" s="384">
        <v>26990</v>
      </c>
    </row>
    <row r="20" spans="1:11" ht="19.2" customHeight="1" x14ac:dyDescent="0.3">
      <c r="A20" s="223"/>
      <c r="B20" s="397">
        <v>441700</v>
      </c>
      <c r="C20" s="382" t="s">
        <v>533</v>
      </c>
      <c r="D20" s="383" t="s">
        <v>241</v>
      </c>
      <c r="E20" s="383" t="s">
        <v>105</v>
      </c>
      <c r="F20" s="384">
        <v>26990</v>
      </c>
    </row>
    <row r="21" spans="1:11" ht="19.2" customHeight="1" x14ac:dyDescent="0.3">
      <c r="A21" s="223"/>
      <c r="B21" s="397">
        <v>441701</v>
      </c>
      <c r="C21" s="382" t="s">
        <v>533</v>
      </c>
      <c r="D21" s="383" t="s">
        <v>241</v>
      </c>
      <c r="E21" s="383" t="s">
        <v>105</v>
      </c>
      <c r="F21" s="384">
        <v>26990</v>
      </c>
    </row>
    <row r="22" spans="1:11" ht="19.2" customHeight="1" x14ac:dyDescent="0.3">
      <c r="A22" s="223"/>
      <c r="B22" s="397">
        <v>441800</v>
      </c>
      <c r="C22" s="382" t="s">
        <v>534</v>
      </c>
      <c r="D22" s="383" t="s">
        <v>138</v>
      </c>
      <c r="E22" s="383" t="s">
        <v>183</v>
      </c>
      <c r="F22" s="384">
        <v>26990</v>
      </c>
    </row>
    <row r="23" spans="1:11" ht="19.2" customHeight="1" x14ac:dyDescent="0.3">
      <c r="A23" s="223"/>
      <c r="B23" s="397">
        <v>441900</v>
      </c>
      <c r="C23" s="382" t="s">
        <v>536</v>
      </c>
      <c r="D23" s="383" t="s">
        <v>138</v>
      </c>
      <c r="E23" s="383" t="s">
        <v>199</v>
      </c>
      <c r="F23" s="384">
        <v>26990</v>
      </c>
    </row>
    <row r="24" spans="1:11" ht="19.2" customHeight="1" x14ac:dyDescent="0.3">
      <c r="A24" s="223"/>
      <c r="B24" s="397">
        <v>441901</v>
      </c>
      <c r="C24" s="382" t="s">
        <v>538</v>
      </c>
      <c r="D24" s="383" t="s">
        <v>138</v>
      </c>
      <c r="E24" s="383" t="s">
        <v>199</v>
      </c>
      <c r="F24" s="384">
        <v>26990</v>
      </c>
    </row>
    <row r="25" spans="1:11" ht="19.2" customHeight="1" x14ac:dyDescent="0.3">
      <c r="A25" s="223"/>
      <c r="B25" s="362">
        <v>442000</v>
      </c>
      <c r="C25" s="378" t="s">
        <v>539</v>
      </c>
      <c r="D25" s="383" t="s">
        <v>138</v>
      </c>
      <c r="E25" s="383" t="s">
        <v>41</v>
      </c>
      <c r="F25" s="384"/>
    </row>
    <row r="26" spans="1:11" ht="19.2" customHeight="1" x14ac:dyDescent="0.3">
      <c r="A26" s="223"/>
      <c r="B26" s="397">
        <v>442100</v>
      </c>
      <c r="C26" s="382" t="s">
        <v>2225</v>
      </c>
      <c r="D26" s="383" t="s">
        <v>138</v>
      </c>
      <c r="E26" s="383" t="s">
        <v>199</v>
      </c>
      <c r="F26" s="384">
        <v>26990</v>
      </c>
      <c r="H26" s="394"/>
      <c r="I26" s="398"/>
      <c r="J26" s="398"/>
      <c r="K26" s="399"/>
    </row>
    <row r="27" spans="1:11" ht="19.2" customHeight="1" x14ac:dyDescent="0.3">
      <c r="A27" s="223"/>
      <c r="B27" s="397">
        <v>442101</v>
      </c>
      <c r="C27" s="382" t="s">
        <v>2226</v>
      </c>
      <c r="D27" s="383" t="s">
        <v>138</v>
      </c>
      <c r="E27" s="383" t="s">
        <v>199</v>
      </c>
      <c r="F27" s="384">
        <v>26990</v>
      </c>
    </row>
    <row r="28" spans="1:11" ht="19.2" customHeight="1" x14ac:dyDescent="0.3">
      <c r="A28" s="223"/>
      <c r="B28" s="381">
        <v>442200</v>
      </c>
      <c r="C28" s="382" t="s">
        <v>542</v>
      </c>
      <c r="D28" s="383" t="s">
        <v>141</v>
      </c>
      <c r="E28" s="383" t="s">
        <v>543</v>
      </c>
      <c r="F28" s="384">
        <v>24990</v>
      </c>
    </row>
    <row r="29" spans="1:11" ht="19.2" customHeight="1" x14ac:dyDescent="0.3">
      <c r="A29" s="223"/>
      <c r="B29" s="381">
        <v>442204</v>
      </c>
      <c r="C29" s="382" t="s">
        <v>545</v>
      </c>
      <c r="D29" s="383" t="s">
        <v>141</v>
      </c>
      <c r="E29" s="383" t="s">
        <v>543</v>
      </c>
      <c r="F29" s="384">
        <v>24990</v>
      </c>
    </row>
    <row r="30" spans="1:11" ht="19.2" customHeight="1" x14ac:dyDescent="0.3">
      <c r="A30" s="223"/>
      <c r="B30" s="381">
        <v>442206</v>
      </c>
      <c r="C30" s="382" t="s">
        <v>547</v>
      </c>
      <c r="D30" s="383" t="s">
        <v>141</v>
      </c>
      <c r="E30" s="383" t="s">
        <v>543</v>
      </c>
      <c r="F30" s="384">
        <v>24990</v>
      </c>
    </row>
    <row r="31" spans="1:11" ht="19.2" customHeight="1" x14ac:dyDescent="0.3">
      <c r="A31" s="223"/>
      <c r="B31" s="381">
        <v>442238</v>
      </c>
      <c r="C31" s="382" t="s">
        <v>549</v>
      </c>
      <c r="D31" s="383" t="s">
        <v>141</v>
      </c>
      <c r="E31" s="383" t="s">
        <v>543</v>
      </c>
      <c r="F31" s="384">
        <v>24990</v>
      </c>
    </row>
    <row r="32" spans="1:11" ht="19.2" customHeight="1" x14ac:dyDescent="0.3">
      <c r="A32" s="223"/>
      <c r="B32" s="362">
        <v>442300</v>
      </c>
      <c r="C32" s="171"/>
      <c r="D32" s="358" t="s">
        <v>138</v>
      </c>
      <c r="E32" s="358" t="s">
        <v>199</v>
      </c>
      <c r="F32" s="29"/>
    </row>
    <row r="33" spans="1:6" ht="19.2" customHeight="1" x14ac:dyDescent="0.3">
      <c r="A33" s="223"/>
      <c r="B33" s="362">
        <v>442400</v>
      </c>
      <c r="C33" s="171"/>
      <c r="D33" s="358" t="s">
        <v>138</v>
      </c>
      <c r="E33" s="358" t="s">
        <v>183</v>
      </c>
      <c r="F33" s="29"/>
    </row>
    <row r="34" spans="1:6" ht="19.2" customHeight="1" x14ac:dyDescent="0.3">
      <c r="A34" s="223"/>
      <c r="B34" s="362">
        <v>442500</v>
      </c>
      <c r="C34" s="171"/>
      <c r="D34" s="358" t="s">
        <v>138</v>
      </c>
      <c r="E34" s="358" t="s">
        <v>550</v>
      </c>
      <c r="F34" s="29"/>
    </row>
    <row r="35" spans="1:6" ht="19.2" customHeight="1" x14ac:dyDescent="0.3">
      <c r="A35" s="223"/>
      <c r="B35" s="381">
        <v>442600</v>
      </c>
      <c r="C35" s="393" t="s">
        <v>551</v>
      </c>
      <c r="D35" s="383" t="s">
        <v>138</v>
      </c>
      <c r="E35" s="383" t="s">
        <v>41</v>
      </c>
      <c r="F35" s="384">
        <v>26990</v>
      </c>
    </row>
    <row r="36" spans="1:6" ht="19.2" customHeight="1" x14ac:dyDescent="0.3">
      <c r="A36" s="223"/>
      <c r="B36" s="381">
        <v>442601</v>
      </c>
      <c r="C36" s="393" t="s">
        <v>2218</v>
      </c>
      <c r="D36" s="383" t="s">
        <v>138</v>
      </c>
      <c r="E36" s="383" t="s">
        <v>41</v>
      </c>
      <c r="F36" s="384">
        <v>26990</v>
      </c>
    </row>
    <row r="37" spans="1:6" ht="19.2" customHeight="1" x14ac:dyDescent="0.3">
      <c r="A37" s="225"/>
      <c r="B37" s="362">
        <v>442700</v>
      </c>
      <c r="C37" s="171"/>
      <c r="D37" s="358" t="s">
        <v>138</v>
      </c>
      <c r="E37" s="358" t="s">
        <v>41</v>
      </c>
      <c r="F37" s="29"/>
    </row>
    <row r="38" spans="1:6" ht="19.2" customHeight="1" x14ac:dyDescent="0.3">
      <c r="A38" s="225"/>
      <c r="B38" s="362">
        <v>442800</v>
      </c>
      <c r="C38" s="171"/>
      <c r="D38" s="358" t="s">
        <v>138</v>
      </c>
      <c r="E38" s="358" t="s">
        <v>183</v>
      </c>
      <c r="F38" s="29"/>
    </row>
    <row r="39" spans="1:6" ht="19.2" customHeight="1" x14ac:dyDescent="0.3">
      <c r="A39" s="224"/>
      <c r="B39" s="362">
        <v>442909</v>
      </c>
      <c r="C39" s="171" t="s">
        <v>2194</v>
      </c>
      <c r="D39" s="358" t="s">
        <v>138</v>
      </c>
      <c r="E39" s="358" t="s">
        <v>199</v>
      </c>
      <c r="F39" s="29">
        <v>24990</v>
      </c>
    </row>
    <row r="40" spans="1:6" ht="19.2" customHeight="1" x14ac:dyDescent="0.3">
      <c r="A40" s="226"/>
      <c r="B40" s="362">
        <v>442904</v>
      </c>
      <c r="C40" s="171" t="s">
        <v>2196</v>
      </c>
      <c r="D40" s="358" t="s">
        <v>138</v>
      </c>
      <c r="E40" s="358" t="s">
        <v>199</v>
      </c>
      <c r="F40" s="29">
        <v>24990</v>
      </c>
    </row>
    <row r="41" spans="1:6" ht="19.2" customHeight="1" x14ac:dyDescent="0.3">
      <c r="A41" s="224"/>
      <c r="B41" s="362">
        <v>442906</v>
      </c>
      <c r="C41" s="171" t="s">
        <v>2198</v>
      </c>
      <c r="D41" s="358" t="s">
        <v>138</v>
      </c>
      <c r="E41" s="358" t="s">
        <v>199</v>
      </c>
      <c r="F41" s="29">
        <v>24990</v>
      </c>
    </row>
    <row r="42" spans="1:6" ht="19.2" customHeight="1" x14ac:dyDescent="0.3">
      <c r="A42" s="224"/>
      <c r="B42" s="362">
        <v>442924</v>
      </c>
      <c r="C42" s="171" t="s">
        <v>2200</v>
      </c>
      <c r="D42" s="358" t="s">
        <v>138</v>
      </c>
      <c r="E42" s="358" t="s">
        <v>199</v>
      </c>
      <c r="F42" s="29">
        <v>24990</v>
      </c>
    </row>
    <row r="43" spans="1:6" ht="19.2" customHeight="1" x14ac:dyDescent="0.3">
      <c r="A43" s="224"/>
      <c r="B43" s="362">
        <v>442938</v>
      </c>
      <c r="C43" s="171" t="s">
        <v>2202</v>
      </c>
      <c r="D43" s="358" t="s">
        <v>138</v>
      </c>
      <c r="E43" s="358" t="s">
        <v>199</v>
      </c>
      <c r="F43" s="29">
        <v>24990</v>
      </c>
    </row>
    <row r="44" spans="1:6" ht="19.2" customHeight="1" x14ac:dyDescent="0.3">
      <c r="A44" s="224"/>
      <c r="B44" s="362"/>
      <c r="C44" s="171"/>
      <c r="D44" s="358"/>
      <c r="E44" s="358"/>
      <c r="F44" s="29"/>
    </row>
    <row r="45" spans="1:6" ht="19.2" customHeight="1" x14ac:dyDescent="0.3">
      <c r="A45" s="224"/>
      <c r="B45" s="397">
        <v>443000</v>
      </c>
      <c r="C45" s="171" t="s">
        <v>552</v>
      </c>
      <c r="D45" s="358" t="s">
        <v>138</v>
      </c>
      <c r="E45" s="358" t="s">
        <v>523</v>
      </c>
      <c r="F45" s="29">
        <v>25990</v>
      </c>
    </row>
    <row r="46" spans="1:6" ht="19.2" customHeight="1" x14ac:dyDescent="0.3">
      <c r="A46" s="224"/>
      <c r="B46" s="397">
        <v>443100</v>
      </c>
      <c r="C46" s="382" t="s">
        <v>554</v>
      </c>
      <c r="D46" s="383" t="s">
        <v>138</v>
      </c>
      <c r="E46" s="383" t="s">
        <v>41</v>
      </c>
      <c r="F46" s="384">
        <v>25990</v>
      </c>
    </row>
    <row r="47" spans="1:6" ht="19.2" customHeight="1" x14ac:dyDescent="0.3">
      <c r="A47" s="224"/>
      <c r="B47" s="397">
        <v>443101</v>
      </c>
      <c r="C47" s="386" t="s">
        <v>556</v>
      </c>
      <c r="D47" s="383" t="s">
        <v>138</v>
      </c>
      <c r="E47" s="383" t="s">
        <v>41</v>
      </c>
      <c r="F47" s="384">
        <v>25990</v>
      </c>
    </row>
    <row r="48" spans="1:6" ht="19.2" customHeight="1" x14ac:dyDescent="0.3">
      <c r="A48" s="224"/>
      <c r="B48" s="381">
        <v>443200</v>
      </c>
      <c r="C48" s="382" t="s">
        <v>557</v>
      </c>
      <c r="D48" s="383" t="s">
        <v>138</v>
      </c>
      <c r="E48" s="383" t="s">
        <v>199</v>
      </c>
      <c r="F48" s="384">
        <v>24990</v>
      </c>
    </row>
    <row r="49" spans="1:6" ht="19.2" customHeight="1" x14ac:dyDescent="0.3">
      <c r="A49" s="224"/>
      <c r="B49" s="362">
        <v>443300</v>
      </c>
      <c r="C49" s="171" t="s">
        <v>558</v>
      </c>
      <c r="D49" s="358" t="s">
        <v>138</v>
      </c>
      <c r="E49" s="358" t="s">
        <v>199</v>
      </c>
      <c r="F49" s="29"/>
    </row>
    <row r="50" spans="1:6" ht="19.2" customHeight="1" x14ac:dyDescent="0.3">
      <c r="A50" s="224"/>
      <c r="B50" s="397">
        <v>443400</v>
      </c>
      <c r="C50" s="386" t="s">
        <v>560</v>
      </c>
      <c r="D50" s="383" t="s">
        <v>191</v>
      </c>
      <c r="E50" s="383" t="s">
        <v>264</v>
      </c>
      <c r="F50" s="384">
        <v>25990</v>
      </c>
    </row>
    <row r="51" spans="1:6" ht="19.2" customHeight="1" x14ac:dyDescent="0.3">
      <c r="A51" s="224"/>
      <c r="B51" s="381">
        <v>443500</v>
      </c>
      <c r="C51" s="393" t="s">
        <v>561</v>
      </c>
      <c r="D51" s="383" t="s">
        <v>141</v>
      </c>
      <c r="E51" s="383" t="s">
        <v>192</v>
      </c>
      <c r="F51" s="384">
        <v>24990</v>
      </c>
    </row>
    <row r="52" spans="1:6" ht="19.2" customHeight="1" x14ac:dyDescent="0.3">
      <c r="A52" s="224"/>
      <c r="B52" s="362">
        <v>443600</v>
      </c>
      <c r="C52" s="171"/>
      <c r="D52" s="358" t="s">
        <v>141</v>
      </c>
      <c r="E52" s="358" t="s">
        <v>105</v>
      </c>
      <c r="F52" s="29"/>
    </row>
    <row r="53" spans="1:6" ht="19.2" customHeight="1" x14ac:dyDescent="0.3">
      <c r="A53" s="227"/>
      <c r="B53" s="362">
        <v>443700</v>
      </c>
      <c r="C53" s="171" t="s">
        <v>562</v>
      </c>
      <c r="D53" s="358" t="s">
        <v>138</v>
      </c>
      <c r="E53" s="358" t="s">
        <v>199</v>
      </c>
      <c r="F53" s="29"/>
    </row>
    <row r="54" spans="1:6" ht="19.2" customHeight="1" x14ac:dyDescent="0.3">
      <c r="A54" s="227"/>
      <c r="B54" s="362">
        <v>443800</v>
      </c>
      <c r="C54" s="171" t="s">
        <v>2215</v>
      </c>
      <c r="D54" s="358"/>
      <c r="E54" s="358"/>
      <c r="F54" s="29">
        <v>27990</v>
      </c>
    </row>
    <row r="55" spans="1:6" ht="19.2" customHeight="1" x14ac:dyDescent="0.3">
      <c r="A55" s="228"/>
      <c r="B55" s="362">
        <v>443900</v>
      </c>
      <c r="C55" s="171" t="s">
        <v>564</v>
      </c>
      <c r="D55" s="360" t="s">
        <v>241</v>
      </c>
      <c r="E55" s="360" t="s">
        <v>105</v>
      </c>
      <c r="F55" s="29"/>
    </row>
    <row r="56" spans="1:6" ht="19.2" customHeight="1" x14ac:dyDescent="0.3">
      <c r="A56" s="228"/>
      <c r="B56" s="381">
        <v>444000</v>
      </c>
      <c r="C56" s="382" t="s">
        <v>565</v>
      </c>
      <c r="D56" s="385" t="s">
        <v>141</v>
      </c>
      <c r="E56" s="385" t="s">
        <v>186</v>
      </c>
      <c r="F56" s="384">
        <v>25990</v>
      </c>
    </row>
    <row r="57" spans="1:6" ht="17.399999999999999" customHeight="1" x14ac:dyDescent="0.3">
      <c r="A57" s="224"/>
      <c r="B57" s="397">
        <v>444100</v>
      </c>
      <c r="C57" s="394" t="s">
        <v>566</v>
      </c>
      <c r="D57" s="383" t="s">
        <v>141</v>
      </c>
      <c r="E57" s="383" t="s">
        <v>199</v>
      </c>
      <c r="F57" s="384">
        <v>24990</v>
      </c>
    </row>
    <row r="58" spans="1:6" ht="17.399999999999999" customHeight="1" x14ac:dyDescent="0.3">
      <c r="A58" s="224"/>
      <c r="B58" s="381">
        <v>444200</v>
      </c>
      <c r="C58" s="382" t="s">
        <v>567</v>
      </c>
      <c r="D58" s="383" t="s">
        <v>138</v>
      </c>
      <c r="E58" s="383" t="s">
        <v>568</v>
      </c>
      <c r="F58" s="384">
        <v>25990</v>
      </c>
    </row>
    <row r="59" spans="1:6" ht="17.399999999999999" customHeight="1" x14ac:dyDescent="0.3">
      <c r="A59" s="224"/>
      <c r="B59" s="381">
        <v>444300</v>
      </c>
      <c r="C59" s="382" t="s">
        <v>569</v>
      </c>
      <c r="D59" s="383" t="s">
        <v>138</v>
      </c>
      <c r="E59" s="383" t="s">
        <v>186</v>
      </c>
      <c r="F59" s="384">
        <v>25990</v>
      </c>
    </row>
    <row r="60" spans="1:6" ht="17.399999999999999" customHeight="1" x14ac:dyDescent="0.3">
      <c r="A60" s="224"/>
      <c r="B60" s="381">
        <v>444400</v>
      </c>
      <c r="C60" s="382" t="s">
        <v>570</v>
      </c>
      <c r="D60" s="383" t="s">
        <v>141</v>
      </c>
      <c r="E60" s="383" t="s">
        <v>264</v>
      </c>
      <c r="F60" s="384">
        <v>25990</v>
      </c>
    </row>
    <row r="61" spans="1:6" ht="17.399999999999999" customHeight="1" x14ac:dyDescent="0.3">
      <c r="A61" s="224"/>
      <c r="B61" s="362">
        <v>444500</v>
      </c>
      <c r="C61" s="171"/>
      <c r="D61" s="358" t="s">
        <v>138</v>
      </c>
      <c r="E61" s="358" t="s">
        <v>523</v>
      </c>
      <c r="F61" s="29"/>
    </row>
    <row r="62" spans="1:6" ht="17.399999999999999" customHeight="1" x14ac:dyDescent="0.3">
      <c r="A62" s="224"/>
      <c r="B62" s="362">
        <v>444600</v>
      </c>
      <c r="C62" s="171"/>
      <c r="D62" s="358" t="s">
        <v>191</v>
      </c>
      <c r="E62" s="358" t="s">
        <v>264</v>
      </c>
      <c r="F62" s="29"/>
    </row>
    <row r="63" spans="1:6" ht="17.399999999999999" customHeight="1" x14ac:dyDescent="0.3">
      <c r="A63" s="224"/>
      <c r="B63" s="362">
        <v>444700</v>
      </c>
      <c r="C63" s="171"/>
      <c r="D63" s="358" t="s">
        <v>138</v>
      </c>
      <c r="E63" s="358" t="s">
        <v>105</v>
      </c>
      <c r="F63" s="29"/>
    </row>
    <row r="64" spans="1:6" ht="17.399999999999999" customHeight="1" x14ac:dyDescent="0.3">
      <c r="A64" s="224"/>
      <c r="B64" s="381">
        <v>444800</v>
      </c>
      <c r="C64" s="382" t="s">
        <v>571</v>
      </c>
      <c r="D64" s="383" t="s">
        <v>294</v>
      </c>
      <c r="E64" s="383" t="s">
        <v>105</v>
      </c>
      <c r="F64" s="384">
        <v>25990</v>
      </c>
    </row>
    <row r="65" spans="1:6" ht="17.399999999999999" customHeight="1" x14ac:dyDescent="0.3">
      <c r="A65" s="224"/>
      <c r="B65" s="362">
        <v>444890</v>
      </c>
      <c r="C65" s="378" t="s">
        <v>573</v>
      </c>
      <c r="D65" s="358"/>
      <c r="E65" s="358"/>
      <c r="F65" s="29">
        <v>26990</v>
      </c>
    </row>
    <row r="66" spans="1:6" ht="17.399999999999999" customHeight="1" x14ac:dyDescent="0.3">
      <c r="A66" s="224"/>
      <c r="B66" s="362">
        <v>444900</v>
      </c>
      <c r="C66" s="171"/>
      <c r="D66" s="358" t="s">
        <v>138</v>
      </c>
      <c r="E66" s="358" t="s">
        <v>199</v>
      </c>
      <c r="F66" s="29"/>
    </row>
    <row r="67" spans="1:6" ht="17.399999999999999" customHeight="1" x14ac:dyDescent="0.3">
      <c r="A67" s="224"/>
      <c r="B67" s="362">
        <v>445000</v>
      </c>
      <c r="C67" s="171"/>
      <c r="D67" s="358" t="s">
        <v>138</v>
      </c>
      <c r="E67" s="358" t="s">
        <v>199</v>
      </c>
      <c r="F67" s="29"/>
    </row>
    <row r="68" spans="1:6" ht="17.399999999999999" customHeight="1" x14ac:dyDescent="0.3">
      <c r="A68" s="224"/>
      <c r="B68" s="362">
        <v>445100</v>
      </c>
      <c r="C68" s="171"/>
      <c r="D68" s="361" t="s">
        <v>138</v>
      </c>
      <c r="E68" s="361" t="s">
        <v>105</v>
      </c>
      <c r="F68" s="29"/>
    </row>
    <row r="69" spans="1:6" ht="17.399999999999999" customHeight="1" x14ac:dyDescent="0.3">
      <c r="A69" s="224"/>
      <c r="B69" s="362">
        <v>445200</v>
      </c>
      <c r="C69" s="171"/>
      <c r="D69" s="358" t="s">
        <v>138</v>
      </c>
      <c r="E69" s="358" t="s">
        <v>41</v>
      </c>
      <c r="F69" s="29"/>
    </row>
    <row r="70" spans="1:6" ht="17.399999999999999" customHeight="1" x14ac:dyDescent="0.3">
      <c r="A70" s="224"/>
      <c r="B70" s="381">
        <v>445300</v>
      </c>
      <c r="C70" s="382" t="s">
        <v>574</v>
      </c>
      <c r="D70" s="390" t="s">
        <v>138</v>
      </c>
      <c r="E70" s="390" t="s">
        <v>575</v>
      </c>
      <c r="F70" s="384">
        <v>25990</v>
      </c>
    </row>
    <row r="71" spans="1:6" ht="17.399999999999999" customHeight="1" x14ac:dyDescent="0.3">
      <c r="A71" s="224"/>
      <c r="B71" s="397">
        <v>445400</v>
      </c>
      <c r="C71" s="382" t="s">
        <v>576</v>
      </c>
      <c r="D71" s="383" t="s">
        <v>138</v>
      </c>
      <c r="E71" s="383" t="s">
        <v>105</v>
      </c>
      <c r="F71" s="384">
        <v>25990</v>
      </c>
    </row>
    <row r="72" spans="1:6" ht="17.399999999999999" customHeight="1" x14ac:dyDescent="0.3">
      <c r="A72" s="224"/>
      <c r="B72" s="397">
        <v>445500</v>
      </c>
      <c r="C72" s="382" t="s">
        <v>577</v>
      </c>
      <c r="D72" s="383" t="s">
        <v>141</v>
      </c>
      <c r="E72" s="383" t="s">
        <v>183</v>
      </c>
      <c r="F72" s="384">
        <v>26990</v>
      </c>
    </row>
    <row r="73" spans="1:6" ht="17.399999999999999" customHeight="1" x14ac:dyDescent="0.3">
      <c r="A73" s="224"/>
      <c r="B73" s="381">
        <v>445660</v>
      </c>
      <c r="C73" s="386" t="s">
        <v>2222</v>
      </c>
      <c r="D73" s="381" t="s">
        <v>141</v>
      </c>
      <c r="E73" s="381" t="s">
        <v>41</v>
      </c>
      <c r="F73" s="384">
        <v>26990</v>
      </c>
    </row>
    <row r="74" spans="1:6" ht="17.399999999999999" customHeight="1" x14ac:dyDescent="0.3">
      <c r="A74" s="224"/>
      <c r="B74" s="381">
        <v>445600</v>
      </c>
      <c r="C74" s="386" t="s">
        <v>2222</v>
      </c>
      <c r="D74" s="381" t="s">
        <v>141</v>
      </c>
      <c r="E74" s="381" t="s">
        <v>41</v>
      </c>
      <c r="F74" s="384">
        <v>26990</v>
      </c>
    </row>
    <row r="75" spans="1:6" ht="17.399999999999999" customHeight="1" x14ac:dyDescent="0.3">
      <c r="A75" s="224"/>
      <c r="B75" s="381">
        <v>445700</v>
      </c>
      <c r="C75" s="382" t="s">
        <v>579</v>
      </c>
      <c r="D75" s="383" t="s">
        <v>141</v>
      </c>
      <c r="E75" s="383" t="s">
        <v>41</v>
      </c>
      <c r="F75" s="384">
        <v>26990</v>
      </c>
    </row>
    <row r="76" spans="1:6" ht="17.399999999999999" customHeight="1" x14ac:dyDescent="0.3">
      <c r="A76" s="224"/>
      <c r="B76" s="381">
        <v>445738</v>
      </c>
      <c r="C76" s="382" t="s">
        <v>581</v>
      </c>
      <c r="D76" s="383" t="s">
        <v>141</v>
      </c>
      <c r="E76" s="383" t="s">
        <v>41</v>
      </c>
      <c r="F76" s="384">
        <v>26990</v>
      </c>
    </row>
    <row r="77" spans="1:6" ht="17.399999999999999" customHeight="1" x14ac:dyDescent="0.3">
      <c r="A77" s="224"/>
      <c r="B77" s="381">
        <v>445706</v>
      </c>
      <c r="C77" s="382" t="s">
        <v>583</v>
      </c>
      <c r="D77" s="383" t="s">
        <v>141</v>
      </c>
      <c r="E77" s="383" t="s">
        <v>41</v>
      </c>
      <c r="F77" s="384">
        <v>26990</v>
      </c>
    </row>
    <row r="78" spans="1:6" ht="17.399999999999999" customHeight="1" x14ac:dyDescent="0.3">
      <c r="A78" s="224"/>
      <c r="B78" s="381">
        <v>445704</v>
      </c>
      <c r="C78" s="382" t="s">
        <v>585</v>
      </c>
      <c r="D78" s="383" t="s">
        <v>141</v>
      </c>
      <c r="E78" s="383" t="s">
        <v>41</v>
      </c>
      <c r="F78" s="384">
        <v>26990</v>
      </c>
    </row>
    <row r="79" spans="1:6" ht="17.399999999999999" customHeight="1" x14ac:dyDescent="0.3">
      <c r="A79" s="224"/>
      <c r="B79" s="381">
        <v>445724</v>
      </c>
      <c r="C79" s="382" t="s">
        <v>2204</v>
      </c>
      <c r="D79" s="383" t="s">
        <v>141</v>
      </c>
      <c r="E79" s="383" t="s">
        <v>41</v>
      </c>
      <c r="F79" s="384">
        <v>26990</v>
      </c>
    </row>
    <row r="80" spans="1:6" ht="17.399999999999999" customHeight="1" x14ac:dyDescent="0.3">
      <c r="A80" s="224"/>
      <c r="B80" s="381">
        <v>445800</v>
      </c>
      <c r="C80" s="382" t="s">
        <v>586</v>
      </c>
      <c r="D80" s="383" t="s">
        <v>138</v>
      </c>
      <c r="E80" s="383" t="s">
        <v>587</v>
      </c>
      <c r="F80" s="384">
        <v>25990</v>
      </c>
    </row>
    <row r="81" spans="1:6" ht="17.399999999999999" customHeight="1" x14ac:dyDescent="0.3">
      <c r="A81" s="224"/>
      <c r="B81" s="362"/>
      <c r="C81" s="171"/>
      <c r="D81" s="358"/>
      <c r="E81" s="358"/>
      <c r="F81" s="29"/>
    </row>
    <row r="82" spans="1:6" ht="17.399999999999999" customHeight="1" x14ac:dyDescent="0.3">
      <c r="A82" s="224" t="s">
        <v>15</v>
      </c>
      <c r="B82" s="362"/>
      <c r="C82" s="171"/>
      <c r="D82" s="358"/>
      <c r="E82" s="358"/>
      <c r="F82" s="29"/>
    </row>
    <row r="83" spans="1:6" ht="17.399999999999999" customHeight="1" x14ac:dyDescent="0.3">
      <c r="A83" s="224" t="s">
        <v>16</v>
      </c>
      <c r="B83" s="362">
        <v>445800</v>
      </c>
      <c r="C83" s="171" t="s">
        <v>588</v>
      </c>
      <c r="D83" s="358" t="s">
        <v>191</v>
      </c>
      <c r="E83" s="358" t="s">
        <v>587</v>
      </c>
      <c r="F83" s="29">
        <v>25990</v>
      </c>
    </row>
    <row r="84" spans="1:6" ht="17.399999999999999" customHeight="1" x14ac:dyDescent="0.3">
      <c r="A84" s="224" t="s">
        <v>17</v>
      </c>
      <c r="B84" s="381">
        <v>445900</v>
      </c>
      <c r="C84" s="382" t="s">
        <v>589</v>
      </c>
      <c r="D84" s="383" t="s">
        <v>590</v>
      </c>
      <c r="E84" s="383" t="s">
        <v>192</v>
      </c>
      <c r="F84" s="384">
        <v>25990</v>
      </c>
    </row>
    <row r="85" spans="1:6" ht="17.399999999999999" customHeight="1" x14ac:dyDescent="0.3">
      <c r="A85" s="224" t="s">
        <v>18</v>
      </c>
      <c r="B85" s="362">
        <v>446000</v>
      </c>
      <c r="C85" s="171" t="s">
        <v>591</v>
      </c>
      <c r="D85" s="358" t="s">
        <v>141</v>
      </c>
      <c r="E85" s="358" t="s">
        <v>264</v>
      </c>
      <c r="F85" s="29">
        <v>25990</v>
      </c>
    </row>
    <row r="86" spans="1:6" ht="17.399999999999999" customHeight="1" x14ac:dyDescent="0.3">
      <c r="A86" s="224" t="s">
        <v>19</v>
      </c>
      <c r="B86" s="362">
        <v>446100</v>
      </c>
      <c r="C86" s="171"/>
      <c r="D86" s="358" t="s">
        <v>138</v>
      </c>
      <c r="E86" s="358" t="s">
        <v>105</v>
      </c>
      <c r="F86" s="29"/>
    </row>
    <row r="87" spans="1:6" ht="17.399999999999999" customHeight="1" x14ac:dyDescent="0.3">
      <c r="A87" s="224" t="s">
        <v>20</v>
      </c>
      <c r="B87" s="362">
        <v>446200</v>
      </c>
      <c r="C87" s="171"/>
      <c r="D87" s="358" t="s">
        <v>138</v>
      </c>
      <c r="E87" s="358" t="s">
        <v>41</v>
      </c>
      <c r="F87" s="29"/>
    </row>
    <row r="88" spans="1:6" ht="17.399999999999999" customHeight="1" x14ac:dyDescent="0.3">
      <c r="A88" s="224">
        <v>3955</v>
      </c>
      <c r="B88" s="362">
        <v>446300</v>
      </c>
      <c r="C88" s="171"/>
      <c r="D88" s="358" t="s">
        <v>141</v>
      </c>
      <c r="E88" s="358" t="s">
        <v>105</v>
      </c>
      <c r="F88" s="29"/>
    </row>
    <row r="89" spans="1:6" ht="17.399999999999999" customHeight="1" x14ac:dyDescent="0.3">
      <c r="A89" s="224">
        <v>3957</v>
      </c>
      <c r="B89" s="362">
        <v>446400</v>
      </c>
      <c r="C89" s="171"/>
      <c r="D89" s="358" t="s">
        <v>141</v>
      </c>
      <c r="E89" s="358" t="s">
        <v>264</v>
      </c>
      <c r="F89" s="29"/>
    </row>
    <row r="90" spans="1:6" ht="17.399999999999999" customHeight="1" x14ac:dyDescent="0.3">
      <c r="A90" s="224" t="s">
        <v>21</v>
      </c>
      <c r="B90" s="362">
        <v>446500</v>
      </c>
      <c r="C90" s="171"/>
      <c r="D90" s="358" t="s">
        <v>138</v>
      </c>
      <c r="E90" s="358" t="s">
        <v>186</v>
      </c>
      <c r="F90" s="29"/>
    </row>
    <row r="91" spans="1:6" ht="17.399999999999999" customHeight="1" x14ac:dyDescent="0.3">
      <c r="A91" s="224" t="s">
        <v>22</v>
      </c>
      <c r="B91" s="362">
        <v>446600</v>
      </c>
      <c r="C91" s="171"/>
      <c r="D91" s="358" t="s">
        <v>141</v>
      </c>
      <c r="E91" s="358" t="s">
        <v>264</v>
      </c>
      <c r="F91" s="29"/>
    </row>
    <row r="92" spans="1:6" ht="17.399999999999999" customHeight="1" x14ac:dyDescent="0.3">
      <c r="A92" s="224" t="s">
        <v>23</v>
      </c>
      <c r="B92" s="362">
        <v>446700</v>
      </c>
      <c r="C92" s="171"/>
      <c r="D92" s="358" t="s">
        <v>592</v>
      </c>
      <c r="E92" s="358" t="s">
        <v>41</v>
      </c>
      <c r="F92" s="29"/>
    </row>
    <row r="93" spans="1:6" ht="17.399999999999999" customHeight="1" x14ac:dyDescent="0.3">
      <c r="A93" s="224" t="s">
        <v>24</v>
      </c>
      <c r="B93" s="397">
        <v>446800</v>
      </c>
      <c r="C93" s="382" t="s">
        <v>593</v>
      </c>
      <c r="D93" s="383" t="s">
        <v>138</v>
      </c>
      <c r="E93" s="383" t="s">
        <v>199</v>
      </c>
      <c r="F93" s="384">
        <v>24990</v>
      </c>
    </row>
    <row r="94" spans="1:6" ht="17.399999999999999" customHeight="1" x14ac:dyDescent="0.3">
      <c r="A94" s="224">
        <v>3961</v>
      </c>
      <c r="B94" s="362">
        <v>446900</v>
      </c>
      <c r="C94" s="171"/>
      <c r="D94" s="358" t="s">
        <v>594</v>
      </c>
      <c r="E94" s="358" t="s">
        <v>595</v>
      </c>
      <c r="F94" s="29">
        <v>27990</v>
      </c>
    </row>
    <row r="95" spans="1:6" ht="17.399999999999999" customHeight="1" x14ac:dyDescent="0.3">
      <c r="A95" s="224">
        <v>3962</v>
      </c>
      <c r="B95" s="362">
        <v>447000</v>
      </c>
      <c r="C95" s="171"/>
      <c r="D95" s="358" t="s">
        <v>594</v>
      </c>
      <c r="E95" s="358" t="s">
        <v>595</v>
      </c>
      <c r="F95" s="29">
        <v>27990</v>
      </c>
    </row>
    <row r="96" spans="1:6" ht="17.399999999999999" customHeight="1" x14ac:dyDescent="0.3">
      <c r="A96" s="224" t="s">
        <v>25</v>
      </c>
      <c r="B96" s="397">
        <v>447100</v>
      </c>
      <c r="C96" s="382" t="s">
        <v>596</v>
      </c>
      <c r="D96" s="381" t="s">
        <v>141</v>
      </c>
      <c r="E96" s="383" t="s">
        <v>587</v>
      </c>
      <c r="F96" s="384">
        <v>25990</v>
      </c>
    </row>
    <row r="97" spans="1:12" ht="17.399999999999999" customHeight="1" x14ac:dyDescent="0.3">
      <c r="A97" s="224">
        <v>3967</v>
      </c>
      <c r="B97" s="397">
        <v>447200</v>
      </c>
      <c r="C97" s="386" t="s">
        <v>598</v>
      </c>
      <c r="D97" s="387" t="s">
        <v>138</v>
      </c>
      <c r="E97" s="388" t="s">
        <v>523</v>
      </c>
      <c r="F97" s="384">
        <v>25990</v>
      </c>
    </row>
    <row r="98" spans="1:12" ht="17.399999999999999" customHeight="1" x14ac:dyDescent="0.3">
      <c r="A98" s="224">
        <v>3968</v>
      </c>
      <c r="B98" s="397">
        <v>447201</v>
      </c>
      <c r="C98" s="386" t="s">
        <v>600</v>
      </c>
      <c r="D98" s="387" t="s">
        <v>138</v>
      </c>
      <c r="E98" s="388" t="s">
        <v>105</v>
      </c>
      <c r="F98" s="384">
        <v>25990</v>
      </c>
    </row>
    <row r="99" spans="1:12" ht="17.399999999999999" customHeight="1" x14ac:dyDescent="0.3">
      <c r="A99" s="224" t="s">
        <v>26</v>
      </c>
      <c r="B99" s="397">
        <v>447300</v>
      </c>
      <c r="C99" s="382" t="s">
        <v>602</v>
      </c>
      <c r="D99" s="387" t="s">
        <v>138</v>
      </c>
      <c r="E99" s="388" t="s">
        <v>192</v>
      </c>
      <c r="F99" s="384">
        <v>24990</v>
      </c>
    </row>
    <row r="100" spans="1:12" ht="17.399999999999999" customHeight="1" x14ac:dyDescent="0.3">
      <c r="A100" s="224" t="s">
        <v>27</v>
      </c>
      <c r="B100" s="362">
        <v>447400</v>
      </c>
      <c r="C100" s="171"/>
      <c r="D100" s="363" t="s">
        <v>138</v>
      </c>
      <c r="E100" s="359" t="s">
        <v>199</v>
      </c>
      <c r="F100" s="29"/>
    </row>
    <row r="101" spans="1:12" ht="17.399999999999999" customHeight="1" x14ac:dyDescent="0.3">
      <c r="A101" s="224" t="s">
        <v>28</v>
      </c>
      <c r="B101" s="362">
        <v>447500</v>
      </c>
      <c r="C101" s="171"/>
      <c r="D101" s="362"/>
      <c r="E101" s="358"/>
      <c r="F101" s="29"/>
    </row>
    <row r="102" spans="1:12" ht="17.399999999999999" customHeight="1" x14ac:dyDescent="0.3">
      <c r="A102" s="224" t="s">
        <v>29</v>
      </c>
      <c r="B102" s="397">
        <v>447600</v>
      </c>
      <c r="C102" s="171" t="s">
        <v>2180</v>
      </c>
      <c r="D102" s="170" t="s">
        <v>191</v>
      </c>
      <c r="E102" s="170" t="s">
        <v>186</v>
      </c>
      <c r="F102" s="29">
        <v>25990</v>
      </c>
    </row>
    <row r="103" spans="1:12" ht="17.399999999999999" customHeight="1" x14ac:dyDescent="0.3">
      <c r="A103" s="224" t="s">
        <v>30</v>
      </c>
      <c r="B103" s="380">
        <v>447700</v>
      </c>
      <c r="C103" s="171"/>
      <c r="D103" s="170"/>
      <c r="E103" s="170"/>
      <c r="F103" s="29"/>
    </row>
    <row r="104" spans="1:12" ht="17.399999999999999" customHeight="1" x14ac:dyDescent="0.3">
      <c r="A104" s="224">
        <v>3972</v>
      </c>
      <c r="B104" s="380">
        <v>447800</v>
      </c>
      <c r="C104" s="171"/>
      <c r="D104" s="170"/>
      <c r="E104" s="170"/>
      <c r="F104" s="29"/>
    </row>
    <row r="105" spans="1:12" ht="17.399999999999999" customHeight="1" x14ac:dyDescent="0.3">
      <c r="A105" s="224">
        <v>3984</v>
      </c>
      <c r="B105" s="362">
        <v>447900</v>
      </c>
      <c r="C105" s="171"/>
      <c r="D105" s="170"/>
      <c r="E105" s="170"/>
      <c r="F105" s="29"/>
    </row>
    <row r="106" spans="1:12" ht="17.399999999999999" customHeight="1" x14ac:dyDescent="0.3">
      <c r="A106" s="224">
        <v>3985</v>
      </c>
      <c r="B106" s="396">
        <v>448000</v>
      </c>
      <c r="C106" s="395" t="s">
        <v>2191</v>
      </c>
      <c r="D106" s="170" t="s">
        <v>141</v>
      </c>
      <c r="E106" s="170" t="s">
        <v>186</v>
      </c>
      <c r="F106" s="29">
        <v>25990</v>
      </c>
    </row>
    <row r="107" spans="1:12" ht="17.399999999999999" customHeight="1" thickBot="1" x14ac:dyDescent="0.35">
      <c r="A107" s="224">
        <v>3990</v>
      </c>
      <c r="B107" s="380">
        <v>448100</v>
      </c>
      <c r="C107" s="171"/>
      <c r="D107" s="170"/>
      <c r="E107" s="170"/>
      <c r="F107" s="29"/>
    </row>
    <row r="108" spans="1:12" x14ac:dyDescent="0.3">
      <c r="A108" s="229">
        <v>4001</v>
      </c>
      <c r="B108" s="397">
        <v>448200</v>
      </c>
      <c r="C108" s="171" t="s">
        <v>2189</v>
      </c>
      <c r="D108" s="170" t="s">
        <v>141</v>
      </c>
      <c r="E108" s="170" t="s">
        <v>183</v>
      </c>
      <c r="F108" s="29">
        <v>26990</v>
      </c>
      <c r="I108" s="141">
        <v>4001</v>
      </c>
      <c r="J108" s="142" t="s">
        <v>10</v>
      </c>
      <c r="K108" s="142" t="s">
        <v>12</v>
      </c>
      <c r="L108" s="143">
        <v>26990</v>
      </c>
    </row>
    <row r="109" spans="1:12" x14ac:dyDescent="0.3">
      <c r="A109" s="230">
        <v>4003</v>
      </c>
      <c r="B109" s="380">
        <v>448300</v>
      </c>
      <c r="C109" s="171"/>
      <c r="D109" s="170"/>
      <c r="E109" s="170"/>
      <c r="F109" s="29"/>
      <c r="G109" s="172"/>
      <c r="I109" s="144">
        <v>4003</v>
      </c>
      <c r="J109" s="145" t="s">
        <v>6</v>
      </c>
      <c r="K109" s="145" t="s">
        <v>12</v>
      </c>
      <c r="L109" s="146">
        <v>25990</v>
      </c>
    </row>
    <row r="110" spans="1:12" x14ac:dyDescent="0.3">
      <c r="A110" s="230">
        <v>4008</v>
      </c>
      <c r="B110" s="396">
        <v>448400</v>
      </c>
      <c r="C110" s="171" t="s">
        <v>2182</v>
      </c>
      <c r="D110" s="170" t="s">
        <v>191</v>
      </c>
      <c r="E110" s="170" t="s">
        <v>105</v>
      </c>
      <c r="F110" s="29">
        <v>25990</v>
      </c>
      <c r="G110" s="172"/>
      <c r="I110" s="144">
        <v>4003</v>
      </c>
      <c r="J110" s="145" t="s">
        <v>6</v>
      </c>
      <c r="K110" s="145" t="s">
        <v>12</v>
      </c>
      <c r="L110" s="146">
        <v>25990</v>
      </c>
    </row>
    <row r="111" spans="1:12" x14ac:dyDescent="0.3">
      <c r="A111" s="230">
        <v>4009</v>
      </c>
      <c r="B111" s="397">
        <v>448500</v>
      </c>
      <c r="C111" s="171" t="s">
        <v>2181</v>
      </c>
      <c r="D111" s="170" t="s">
        <v>141</v>
      </c>
      <c r="E111" s="170" t="s">
        <v>264</v>
      </c>
      <c r="F111" s="29">
        <v>25990</v>
      </c>
      <c r="I111" s="144">
        <v>4013</v>
      </c>
      <c r="J111" s="147" t="s">
        <v>6</v>
      </c>
      <c r="K111" s="147" t="s">
        <v>12</v>
      </c>
      <c r="L111" s="146">
        <v>25990</v>
      </c>
    </row>
    <row r="112" spans="1:12" ht="15.75" customHeight="1" x14ac:dyDescent="0.3">
      <c r="A112" s="230">
        <v>4010</v>
      </c>
      <c r="B112" s="396">
        <v>448600</v>
      </c>
      <c r="C112" s="171" t="s">
        <v>2187</v>
      </c>
      <c r="D112" s="170" t="s">
        <v>141</v>
      </c>
      <c r="E112" s="170" t="s">
        <v>603</v>
      </c>
      <c r="F112" s="29">
        <v>25990</v>
      </c>
      <c r="I112" s="144">
        <v>4024</v>
      </c>
      <c r="J112" s="145" t="s">
        <v>6</v>
      </c>
      <c r="K112" s="145" t="s">
        <v>12</v>
      </c>
      <c r="L112" s="146">
        <v>25990</v>
      </c>
    </row>
    <row r="113" spans="1:12" ht="15" customHeight="1" x14ac:dyDescent="0.3">
      <c r="A113" s="230">
        <v>4013</v>
      </c>
      <c r="B113" s="380">
        <v>448760</v>
      </c>
      <c r="C113" s="171" t="s">
        <v>2185</v>
      </c>
      <c r="D113" s="170" t="s">
        <v>604</v>
      </c>
      <c r="E113" s="170" t="s">
        <v>199</v>
      </c>
      <c r="F113" s="29">
        <v>26990</v>
      </c>
      <c r="I113" s="144">
        <v>4026</v>
      </c>
      <c r="J113" s="145" t="s">
        <v>6</v>
      </c>
      <c r="K113" s="145" t="s">
        <v>12</v>
      </c>
      <c r="L113" s="146">
        <v>25990</v>
      </c>
    </row>
    <row r="114" spans="1:12" x14ac:dyDescent="0.3">
      <c r="A114" s="230">
        <v>4018</v>
      </c>
      <c r="B114" s="380">
        <v>448700</v>
      </c>
      <c r="C114" s="171" t="s">
        <v>2184</v>
      </c>
      <c r="D114" s="170" t="s">
        <v>604</v>
      </c>
      <c r="E114" s="170" t="s">
        <v>199</v>
      </c>
      <c r="F114" s="29">
        <v>24990</v>
      </c>
      <c r="I114" s="144">
        <v>4034</v>
      </c>
      <c r="J114" s="145" t="s">
        <v>6</v>
      </c>
      <c r="K114" s="145" t="s">
        <v>12</v>
      </c>
      <c r="L114" s="146">
        <v>25990</v>
      </c>
    </row>
    <row r="115" spans="1:12" x14ac:dyDescent="0.3">
      <c r="A115" s="230">
        <v>4019</v>
      </c>
      <c r="B115" s="362">
        <v>448800</v>
      </c>
      <c r="C115" s="171" t="s">
        <v>605</v>
      </c>
      <c r="D115" s="170" t="s">
        <v>141</v>
      </c>
      <c r="E115" s="170" t="s">
        <v>199</v>
      </c>
      <c r="F115" s="29">
        <v>26990</v>
      </c>
      <c r="I115" s="144">
        <v>4035</v>
      </c>
      <c r="J115" s="145" t="s">
        <v>10</v>
      </c>
      <c r="K115" s="145" t="s">
        <v>31</v>
      </c>
      <c r="L115" s="146">
        <v>25990</v>
      </c>
    </row>
    <row r="116" spans="1:12" ht="16.5" customHeight="1" thickBot="1" x14ac:dyDescent="0.35">
      <c r="A116" s="214">
        <v>4019</v>
      </c>
      <c r="B116" s="396">
        <v>448900</v>
      </c>
      <c r="C116" s="382" t="s">
        <v>606</v>
      </c>
      <c r="D116" s="392" t="s">
        <v>141</v>
      </c>
      <c r="E116" s="392" t="s">
        <v>199</v>
      </c>
      <c r="F116" s="384">
        <v>26990</v>
      </c>
      <c r="I116" s="148">
        <v>4036</v>
      </c>
      <c r="J116" s="149" t="s">
        <v>6</v>
      </c>
      <c r="K116" s="149" t="s">
        <v>12</v>
      </c>
      <c r="L116" s="150">
        <v>25990</v>
      </c>
    </row>
    <row r="117" spans="1:12" ht="16.5" customHeight="1" thickBot="1" x14ac:dyDescent="0.35">
      <c r="A117" s="231">
        <v>4024</v>
      </c>
      <c r="B117" s="380">
        <v>449000</v>
      </c>
      <c r="C117" s="171"/>
      <c r="D117" s="170"/>
      <c r="E117" s="170"/>
      <c r="F117" s="29"/>
      <c r="I117" s="178"/>
      <c r="J117" s="149"/>
      <c r="K117" s="149"/>
      <c r="L117" s="150"/>
    </row>
    <row r="118" spans="1:12" ht="16.5" customHeight="1" thickBot="1" x14ac:dyDescent="0.35">
      <c r="A118" s="231">
        <v>4026</v>
      </c>
      <c r="B118" s="362">
        <v>449100</v>
      </c>
      <c r="C118" s="171"/>
      <c r="D118" s="170"/>
      <c r="E118" s="170"/>
      <c r="F118" s="29"/>
      <c r="I118" s="151" t="s">
        <v>33</v>
      </c>
      <c r="J118" s="149" t="s">
        <v>6</v>
      </c>
      <c r="K118" s="149" t="s">
        <v>12</v>
      </c>
      <c r="L118" s="150">
        <v>27990</v>
      </c>
    </row>
    <row r="119" spans="1:12" ht="16.5" customHeight="1" thickBot="1" x14ac:dyDescent="0.35">
      <c r="A119" s="232">
        <v>4028</v>
      </c>
      <c r="B119" s="396">
        <v>449200</v>
      </c>
      <c r="C119" s="171" t="s">
        <v>608</v>
      </c>
      <c r="D119" s="170" t="s">
        <v>141</v>
      </c>
      <c r="E119" s="170" t="s">
        <v>105</v>
      </c>
      <c r="F119" s="29">
        <v>25990</v>
      </c>
      <c r="I119" s="152">
        <v>4061</v>
      </c>
      <c r="J119" s="153" t="s">
        <v>6</v>
      </c>
      <c r="K119" s="153" t="s">
        <v>12</v>
      </c>
      <c r="L119" s="154">
        <v>26990</v>
      </c>
    </row>
    <row r="120" spans="1:12" ht="16.5" customHeight="1" thickBot="1" x14ac:dyDescent="0.35">
      <c r="A120" s="232">
        <v>4033</v>
      </c>
      <c r="B120" s="380">
        <v>449290</v>
      </c>
      <c r="C120" s="171" t="s">
        <v>610</v>
      </c>
      <c r="D120" s="170" t="s">
        <v>141</v>
      </c>
      <c r="E120" s="170" t="s">
        <v>105</v>
      </c>
      <c r="F120" s="29">
        <v>26990</v>
      </c>
      <c r="I120" s="144" t="s">
        <v>35</v>
      </c>
      <c r="J120" s="145" t="s">
        <v>6</v>
      </c>
      <c r="K120" s="145" t="s">
        <v>12</v>
      </c>
      <c r="L120" s="146">
        <v>25990</v>
      </c>
    </row>
    <row r="121" spans="1:12" x14ac:dyDescent="0.3">
      <c r="A121" s="233">
        <v>4034</v>
      </c>
      <c r="B121" s="380">
        <v>449301</v>
      </c>
      <c r="C121" s="171" t="s">
        <v>2210</v>
      </c>
      <c r="D121" s="170" t="s">
        <v>141</v>
      </c>
      <c r="E121" s="170" t="s">
        <v>105</v>
      </c>
      <c r="F121" s="29">
        <v>25990</v>
      </c>
      <c r="I121" s="148"/>
      <c r="J121" s="153"/>
      <c r="K121" s="153"/>
      <c r="L121" s="154"/>
    </row>
    <row r="122" spans="1:12" ht="16.5" customHeight="1" thickBot="1" x14ac:dyDescent="0.35">
      <c r="A122" s="230">
        <v>4035</v>
      </c>
      <c r="B122" s="397">
        <v>449404</v>
      </c>
      <c r="C122" s="171" t="s">
        <v>2205</v>
      </c>
      <c r="D122" s="170" t="s">
        <v>141</v>
      </c>
      <c r="E122" s="170" t="s">
        <v>264</v>
      </c>
      <c r="F122" s="29">
        <v>25990</v>
      </c>
      <c r="I122" s="155" t="s">
        <v>37</v>
      </c>
      <c r="J122" s="149" t="s">
        <v>6</v>
      </c>
      <c r="K122" s="149" t="s">
        <v>12</v>
      </c>
      <c r="L122" s="150">
        <v>25990</v>
      </c>
    </row>
    <row r="123" spans="1:12" x14ac:dyDescent="0.3">
      <c r="A123" s="230">
        <v>4036</v>
      </c>
      <c r="B123" s="362">
        <v>449406</v>
      </c>
      <c r="C123" s="171" t="s">
        <v>2206</v>
      </c>
      <c r="D123" s="170" t="s">
        <v>141</v>
      </c>
      <c r="E123" s="170" t="s">
        <v>264</v>
      </c>
      <c r="F123" s="29">
        <v>25990</v>
      </c>
      <c r="I123" s="142" t="s">
        <v>38</v>
      </c>
      <c r="J123" s="142" t="s">
        <v>10</v>
      </c>
      <c r="K123" s="142" t="s">
        <v>8</v>
      </c>
      <c r="L123" s="143">
        <v>25990</v>
      </c>
    </row>
    <row r="124" spans="1:12" ht="15.75" customHeight="1" thickBot="1" x14ac:dyDescent="0.35">
      <c r="A124" s="234">
        <v>4042</v>
      </c>
      <c r="B124" s="362">
        <v>449409</v>
      </c>
      <c r="C124" s="171" t="s">
        <v>2207</v>
      </c>
      <c r="D124" s="170" t="s">
        <v>141</v>
      </c>
      <c r="E124" s="170" t="s">
        <v>264</v>
      </c>
      <c r="F124" s="29">
        <v>25990</v>
      </c>
      <c r="I124" s="145" t="s">
        <v>39</v>
      </c>
      <c r="J124" s="145" t="s">
        <v>10</v>
      </c>
      <c r="K124" s="145" t="s">
        <v>8</v>
      </c>
      <c r="L124" s="146">
        <v>25990</v>
      </c>
    </row>
    <row r="125" spans="1:12" x14ac:dyDescent="0.3">
      <c r="A125" s="235">
        <v>4044</v>
      </c>
      <c r="B125" s="362">
        <v>449424</v>
      </c>
      <c r="C125" s="171" t="s">
        <v>2208</v>
      </c>
      <c r="D125" s="170" t="s">
        <v>141</v>
      </c>
      <c r="E125" s="170" t="s">
        <v>264</v>
      </c>
      <c r="F125" s="29">
        <v>25990</v>
      </c>
      <c r="I125" s="145">
        <v>4004</v>
      </c>
      <c r="J125" s="145" t="s">
        <v>6</v>
      </c>
      <c r="K125" s="145" t="s">
        <v>8</v>
      </c>
      <c r="L125" s="146">
        <v>25990</v>
      </c>
    </row>
    <row r="126" spans="1:12" x14ac:dyDescent="0.3">
      <c r="A126" s="215">
        <v>4044</v>
      </c>
      <c r="B126" s="362"/>
      <c r="C126" s="171"/>
      <c r="D126" s="170"/>
      <c r="E126" s="170"/>
      <c r="F126" s="29"/>
      <c r="I126" s="153"/>
      <c r="J126" s="153"/>
      <c r="K126" s="153"/>
      <c r="L126" s="154"/>
    </row>
    <row r="127" spans="1:12" ht="16.5" customHeight="1" thickBot="1" x14ac:dyDescent="0.35">
      <c r="A127" s="215">
        <v>4044</v>
      </c>
      <c r="B127" s="362"/>
      <c r="C127" s="171"/>
      <c r="D127" s="170"/>
      <c r="E127" s="170"/>
      <c r="F127" s="29"/>
      <c r="I127" s="149">
        <v>4009</v>
      </c>
      <c r="J127" s="149" t="s">
        <v>6</v>
      </c>
      <c r="K127" s="149" t="s">
        <v>8</v>
      </c>
      <c r="L127" s="150">
        <v>25990</v>
      </c>
    </row>
    <row r="128" spans="1:12" x14ac:dyDescent="0.3">
      <c r="A128" s="236">
        <v>4051</v>
      </c>
      <c r="B128" s="380">
        <v>449500</v>
      </c>
      <c r="C128" s="171" t="s">
        <v>616</v>
      </c>
      <c r="D128" s="170" t="s">
        <v>141</v>
      </c>
      <c r="E128" s="170" t="s">
        <v>183</v>
      </c>
      <c r="F128" s="29">
        <v>26990</v>
      </c>
      <c r="I128" s="156">
        <v>4008</v>
      </c>
      <c r="J128" s="142" t="s">
        <v>6</v>
      </c>
      <c r="K128" s="142" t="s">
        <v>13</v>
      </c>
      <c r="L128" s="143">
        <v>25990</v>
      </c>
    </row>
    <row r="129" spans="1:12" x14ac:dyDescent="0.3">
      <c r="A129" s="236">
        <v>4052</v>
      </c>
      <c r="B129" s="380">
        <v>449504</v>
      </c>
      <c r="C129" s="171" t="s">
        <v>618</v>
      </c>
      <c r="D129" s="170" t="s">
        <v>141</v>
      </c>
      <c r="E129" s="170" t="s">
        <v>183</v>
      </c>
      <c r="F129" s="29">
        <v>26990</v>
      </c>
      <c r="I129" s="157">
        <v>4011</v>
      </c>
      <c r="J129" s="145" t="s">
        <v>6</v>
      </c>
      <c r="K129" s="145" t="s">
        <v>13</v>
      </c>
      <c r="L129" s="146">
        <v>24990</v>
      </c>
    </row>
    <row r="130" spans="1:12" ht="16.5" customHeight="1" thickBot="1" x14ac:dyDescent="0.35">
      <c r="A130" s="237">
        <v>4053</v>
      </c>
      <c r="B130" s="380">
        <v>449506</v>
      </c>
      <c r="C130" s="171" t="s">
        <v>620</v>
      </c>
      <c r="D130" s="170" t="s">
        <v>141</v>
      </c>
      <c r="E130" s="170" t="s">
        <v>183</v>
      </c>
      <c r="F130" s="29">
        <v>26990</v>
      </c>
      <c r="I130" s="157">
        <v>4011</v>
      </c>
      <c r="J130" s="145" t="s">
        <v>6</v>
      </c>
      <c r="K130" s="145" t="s">
        <v>13</v>
      </c>
      <c r="L130" s="146">
        <v>24990</v>
      </c>
    </row>
    <row r="131" spans="1:12" x14ac:dyDescent="0.3">
      <c r="A131" s="238">
        <v>4053</v>
      </c>
      <c r="B131" s="380">
        <v>449509</v>
      </c>
      <c r="C131" s="171" t="s">
        <v>622</v>
      </c>
      <c r="D131" s="170" t="s">
        <v>141</v>
      </c>
      <c r="E131" s="170" t="s">
        <v>183</v>
      </c>
      <c r="F131" s="29">
        <v>26990</v>
      </c>
      <c r="I131" s="157"/>
      <c r="J131" s="145"/>
      <c r="K131" s="145"/>
      <c r="L131" s="146"/>
    </row>
    <row r="132" spans="1:12" x14ac:dyDescent="0.3">
      <c r="A132" s="239">
        <v>4056</v>
      </c>
      <c r="B132" s="380">
        <v>449524</v>
      </c>
      <c r="C132" s="171" t="s">
        <v>624</v>
      </c>
      <c r="D132" s="170" t="s">
        <v>141</v>
      </c>
      <c r="E132" s="170" t="s">
        <v>183</v>
      </c>
      <c r="F132" s="29">
        <v>26990</v>
      </c>
      <c r="I132" s="157">
        <v>4012</v>
      </c>
      <c r="J132" s="145" t="s">
        <v>6</v>
      </c>
      <c r="K132" s="145" t="s">
        <v>13</v>
      </c>
      <c r="L132" s="146">
        <v>25990</v>
      </c>
    </row>
    <row r="133" spans="1:12" ht="15.75" customHeight="1" x14ac:dyDescent="0.3">
      <c r="A133" s="216">
        <v>4060</v>
      </c>
      <c r="B133" s="380">
        <v>449538</v>
      </c>
      <c r="C133" s="171" t="s">
        <v>626</v>
      </c>
      <c r="D133" s="170" t="s">
        <v>141</v>
      </c>
      <c r="E133" s="170" t="s">
        <v>183</v>
      </c>
      <c r="F133" s="29">
        <v>26990</v>
      </c>
      <c r="I133" s="157">
        <v>4012</v>
      </c>
      <c r="J133" s="145" t="s">
        <v>6</v>
      </c>
      <c r="K133" s="145" t="s">
        <v>13</v>
      </c>
      <c r="L133" s="146">
        <v>25990</v>
      </c>
    </row>
    <row r="134" spans="1:12" x14ac:dyDescent="0.3">
      <c r="A134" s="240">
        <v>4061</v>
      </c>
      <c r="B134" s="391">
        <v>449600</v>
      </c>
      <c r="C134" s="382" t="s">
        <v>2192</v>
      </c>
      <c r="D134" s="392" t="s">
        <v>138</v>
      </c>
      <c r="E134" s="392" t="s">
        <v>199</v>
      </c>
      <c r="F134" s="384">
        <v>26990</v>
      </c>
      <c r="I134" s="157">
        <v>4027</v>
      </c>
      <c r="J134" s="145" t="s">
        <v>6</v>
      </c>
      <c r="K134" s="145" t="s">
        <v>13</v>
      </c>
      <c r="L134" s="146">
        <v>26990</v>
      </c>
    </row>
    <row r="135" spans="1:12" ht="15.75" customHeight="1" x14ac:dyDescent="0.3">
      <c r="A135" s="215">
        <v>4061</v>
      </c>
      <c r="B135" s="397">
        <v>449700</v>
      </c>
      <c r="C135" s="171" t="s">
        <v>2190</v>
      </c>
      <c r="D135" s="170" t="s">
        <v>141</v>
      </c>
      <c r="E135" s="170" t="s">
        <v>264</v>
      </c>
      <c r="F135" s="29">
        <v>25990</v>
      </c>
      <c r="I135" s="157"/>
      <c r="J135" s="145"/>
      <c r="K135" s="145"/>
      <c r="L135" s="146"/>
    </row>
    <row r="136" spans="1:12" x14ac:dyDescent="0.3">
      <c r="A136" s="241">
        <v>4064</v>
      </c>
      <c r="B136" s="380">
        <v>449800</v>
      </c>
      <c r="C136" s="171"/>
      <c r="D136" s="170"/>
      <c r="E136" s="170"/>
      <c r="F136" s="29"/>
      <c r="I136" s="157">
        <v>4029</v>
      </c>
      <c r="J136" s="145" t="s">
        <v>6</v>
      </c>
      <c r="K136" s="145" t="s">
        <v>13</v>
      </c>
      <c r="L136" s="146">
        <v>26990</v>
      </c>
    </row>
    <row r="137" spans="1:12" x14ac:dyDescent="0.3">
      <c r="A137" s="241">
        <v>4065</v>
      </c>
      <c r="B137" s="295">
        <v>449900</v>
      </c>
      <c r="F137" s="380"/>
      <c r="I137" s="157">
        <v>4044</v>
      </c>
      <c r="J137" s="145" t="s">
        <v>6</v>
      </c>
      <c r="K137" s="145" t="s">
        <v>13</v>
      </c>
      <c r="L137" s="146">
        <v>26990</v>
      </c>
    </row>
    <row r="138" spans="1:12" ht="15.75" customHeight="1" x14ac:dyDescent="0.3">
      <c r="A138" s="215">
        <v>4065</v>
      </c>
      <c r="B138" s="215">
        <v>406500</v>
      </c>
      <c r="C138" s="171" t="s">
        <v>40</v>
      </c>
      <c r="D138" s="170" t="s">
        <v>6</v>
      </c>
      <c r="E138" s="170" t="s">
        <v>13</v>
      </c>
      <c r="F138" s="29">
        <v>25990</v>
      </c>
      <c r="I138" s="157">
        <v>4052</v>
      </c>
      <c r="J138" s="145" t="s">
        <v>10</v>
      </c>
      <c r="K138" s="145" t="s">
        <v>13</v>
      </c>
      <c r="L138" s="146">
        <v>26990</v>
      </c>
    </row>
    <row r="139" spans="1:12" ht="15.75" customHeight="1" x14ac:dyDescent="0.3">
      <c r="A139" s="215">
        <v>4076</v>
      </c>
      <c r="B139" s="215">
        <v>407600</v>
      </c>
      <c r="C139" s="171" t="s">
        <v>42</v>
      </c>
      <c r="D139" s="170" t="s">
        <v>6</v>
      </c>
      <c r="E139" s="170" t="s">
        <v>9</v>
      </c>
      <c r="F139" s="29">
        <v>25990</v>
      </c>
      <c r="I139" s="157">
        <v>4053</v>
      </c>
      <c r="J139" s="145" t="s">
        <v>10</v>
      </c>
      <c r="K139" s="145" t="s">
        <v>13</v>
      </c>
      <c r="L139" s="146">
        <v>26990</v>
      </c>
    </row>
    <row r="140" spans="1:12" x14ac:dyDescent="0.3">
      <c r="A140" s="241" t="s">
        <v>38</v>
      </c>
      <c r="B140" s="241">
        <v>400200</v>
      </c>
      <c r="C140" s="171" t="s">
        <v>43</v>
      </c>
      <c r="D140" s="177" t="s">
        <v>10</v>
      </c>
      <c r="E140" s="177" t="s">
        <v>8</v>
      </c>
      <c r="F140" s="167">
        <v>25990</v>
      </c>
      <c r="I140" s="157">
        <v>4057</v>
      </c>
      <c r="J140" s="145" t="s">
        <v>6</v>
      </c>
      <c r="K140" s="145" t="s">
        <v>13</v>
      </c>
      <c r="L140" s="146">
        <v>26990</v>
      </c>
    </row>
    <row r="141" spans="1:12" ht="15.75" customHeight="1" thickBot="1" x14ac:dyDescent="0.35">
      <c r="A141" s="241" t="s">
        <v>38</v>
      </c>
      <c r="B141" s="241">
        <v>400200</v>
      </c>
      <c r="C141" s="171"/>
      <c r="D141" s="177" t="s">
        <v>10</v>
      </c>
      <c r="E141" s="177" t="s">
        <v>8</v>
      </c>
      <c r="F141" s="167">
        <v>25990</v>
      </c>
      <c r="I141" s="158">
        <v>4065</v>
      </c>
      <c r="J141" s="149" t="s">
        <v>6</v>
      </c>
      <c r="K141" s="149" t="s">
        <v>13</v>
      </c>
      <c r="L141" s="150">
        <v>27990</v>
      </c>
    </row>
    <row r="142" spans="1:12" ht="16.5" customHeight="1" thickBot="1" x14ac:dyDescent="0.35">
      <c r="A142" s="215" t="s">
        <v>38</v>
      </c>
      <c r="B142" s="215">
        <v>400200</v>
      </c>
      <c r="C142" s="171" t="s">
        <v>44</v>
      </c>
      <c r="D142" s="170" t="s">
        <v>6</v>
      </c>
      <c r="E142" s="170" t="s">
        <v>13</v>
      </c>
      <c r="F142" s="29">
        <v>25990</v>
      </c>
      <c r="I142" s="159">
        <v>4028</v>
      </c>
      <c r="J142" s="160" t="s">
        <v>6</v>
      </c>
      <c r="K142" s="160" t="s">
        <v>34</v>
      </c>
      <c r="L142" s="161">
        <v>25990</v>
      </c>
    </row>
    <row r="143" spans="1:12" ht="16.5" customHeight="1" thickBot="1" x14ac:dyDescent="0.35">
      <c r="A143" s="241" t="s">
        <v>45</v>
      </c>
      <c r="B143" s="241">
        <v>400201</v>
      </c>
      <c r="C143" s="171" t="s">
        <v>46</v>
      </c>
      <c r="D143" s="177" t="s">
        <v>10</v>
      </c>
      <c r="E143" s="177" t="s">
        <v>8</v>
      </c>
      <c r="F143" s="167">
        <v>25990</v>
      </c>
      <c r="I143" s="141">
        <v>4007</v>
      </c>
      <c r="J143" s="142" t="s">
        <v>6</v>
      </c>
      <c r="K143" s="142" t="s">
        <v>14</v>
      </c>
      <c r="L143" s="143">
        <v>23990</v>
      </c>
    </row>
    <row r="144" spans="1:12" ht="16.5" customHeight="1" thickBot="1" x14ac:dyDescent="0.35">
      <c r="A144" s="215" t="s">
        <v>45</v>
      </c>
      <c r="B144" s="215">
        <v>400201</v>
      </c>
      <c r="C144" s="171" t="s">
        <v>47</v>
      </c>
      <c r="D144" s="170" t="s">
        <v>6</v>
      </c>
      <c r="E144" s="170" t="s">
        <v>13</v>
      </c>
      <c r="F144" s="29">
        <v>25990</v>
      </c>
      <c r="I144" s="179"/>
      <c r="J144" s="180"/>
      <c r="K144" s="180"/>
      <c r="L144" s="181"/>
    </row>
    <row r="145" spans="1:12" ht="16.5" customHeight="1" thickBot="1" x14ac:dyDescent="0.35">
      <c r="A145" s="241" t="s">
        <v>39</v>
      </c>
      <c r="B145" s="241">
        <v>400203</v>
      </c>
      <c r="C145" s="171"/>
      <c r="D145" s="177" t="s">
        <v>10</v>
      </c>
      <c r="E145" s="177" t="s">
        <v>8</v>
      </c>
      <c r="F145" s="167">
        <v>25990</v>
      </c>
      <c r="I145" s="159" t="s">
        <v>48</v>
      </c>
      <c r="J145" s="160" t="s">
        <v>6</v>
      </c>
      <c r="K145" s="160" t="s">
        <v>14</v>
      </c>
      <c r="L145" s="161">
        <v>25990</v>
      </c>
    </row>
    <row r="146" spans="1:12" x14ac:dyDescent="0.3">
      <c r="A146" s="241" t="s">
        <v>49</v>
      </c>
      <c r="B146" s="241">
        <v>400400</v>
      </c>
      <c r="C146" s="171" t="s">
        <v>50</v>
      </c>
      <c r="D146" s="177" t="s">
        <v>6</v>
      </c>
      <c r="E146" s="177" t="s">
        <v>8</v>
      </c>
      <c r="F146" s="167">
        <v>25990</v>
      </c>
      <c r="I146" s="162">
        <v>4015</v>
      </c>
      <c r="J146" s="163" t="s">
        <v>6</v>
      </c>
      <c r="K146" s="164" t="s">
        <v>14</v>
      </c>
      <c r="L146" s="165">
        <v>23990</v>
      </c>
    </row>
    <row r="147" spans="1:12" ht="15.75" customHeight="1" x14ac:dyDescent="0.3">
      <c r="A147" s="215" t="s">
        <v>49</v>
      </c>
      <c r="B147" s="215">
        <v>400400</v>
      </c>
      <c r="C147" s="171" t="s">
        <v>51</v>
      </c>
      <c r="D147" s="170" t="s">
        <v>11</v>
      </c>
      <c r="E147" s="170" t="s">
        <v>8</v>
      </c>
      <c r="F147" s="29">
        <v>25990</v>
      </c>
      <c r="I147" s="162"/>
      <c r="J147" s="163"/>
      <c r="K147" s="164"/>
      <c r="L147" s="165"/>
    </row>
    <row r="148" spans="1:12" ht="15.75" customHeight="1" x14ac:dyDescent="0.3">
      <c r="A148" s="241" t="s">
        <v>52</v>
      </c>
      <c r="B148" s="241">
        <v>400401</v>
      </c>
      <c r="C148" s="171" t="s">
        <v>53</v>
      </c>
      <c r="D148" s="177" t="s">
        <v>6</v>
      </c>
      <c r="E148" s="177" t="s">
        <v>8</v>
      </c>
      <c r="F148" s="167">
        <v>25990</v>
      </c>
      <c r="I148" s="144">
        <v>4015</v>
      </c>
      <c r="J148" s="147" t="s">
        <v>6</v>
      </c>
      <c r="K148" s="145" t="s">
        <v>14</v>
      </c>
      <c r="L148" s="146">
        <v>23990</v>
      </c>
    </row>
    <row r="149" spans="1:12" ht="15.75" customHeight="1" x14ac:dyDescent="0.3">
      <c r="A149" s="215" t="s">
        <v>52</v>
      </c>
      <c r="B149" s="215">
        <v>400401</v>
      </c>
      <c r="C149" s="171" t="s">
        <v>54</v>
      </c>
      <c r="D149" s="170" t="s">
        <v>11</v>
      </c>
      <c r="E149" s="170" t="s">
        <v>8</v>
      </c>
      <c r="F149" s="29">
        <v>25990</v>
      </c>
      <c r="I149" s="144" t="s">
        <v>55</v>
      </c>
      <c r="J149" s="147" t="s">
        <v>6</v>
      </c>
      <c r="K149" s="145" t="s">
        <v>14</v>
      </c>
      <c r="L149" s="146">
        <v>25990</v>
      </c>
    </row>
    <row r="150" spans="1:12" ht="15.75" customHeight="1" x14ac:dyDescent="0.3">
      <c r="A150" s="241" t="s">
        <v>56</v>
      </c>
      <c r="B150" s="241">
        <v>400700</v>
      </c>
      <c r="C150" s="171" t="s">
        <v>57</v>
      </c>
      <c r="D150" s="170" t="s">
        <v>11</v>
      </c>
      <c r="E150" s="170" t="s">
        <v>14</v>
      </c>
      <c r="F150" s="29">
        <v>24990</v>
      </c>
      <c r="I150" s="144">
        <v>4016</v>
      </c>
      <c r="J150" s="145" t="s">
        <v>6</v>
      </c>
      <c r="K150" s="145" t="s">
        <v>14</v>
      </c>
      <c r="L150" s="146">
        <v>24990</v>
      </c>
    </row>
    <row r="151" spans="1:12" x14ac:dyDescent="0.3">
      <c r="A151" s="215" t="s">
        <v>48</v>
      </c>
      <c r="B151" s="215">
        <v>400790</v>
      </c>
      <c r="C151" s="171" t="s">
        <v>58</v>
      </c>
      <c r="D151" s="170" t="s">
        <v>11</v>
      </c>
      <c r="E151" s="170" t="s">
        <v>14</v>
      </c>
      <c r="F151" s="29">
        <v>26990</v>
      </c>
      <c r="I151" s="144">
        <v>4018</v>
      </c>
      <c r="J151" s="145" t="s">
        <v>6</v>
      </c>
      <c r="K151" s="145" t="s">
        <v>14</v>
      </c>
      <c r="L151" s="146">
        <v>23990</v>
      </c>
    </row>
    <row r="152" spans="1:12" ht="16.5" customHeight="1" thickBot="1" x14ac:dyDescent="0.35">
      <c r="A152" s="241" t="s">
        <v>48</v>
      </c>
      <c r="B152" s="241">
        <v>400790</v>
      </c>
      <c r="C152" s="171"/>
      <c r="D152" s="177" t="s">
        <v>6</v>
      </c>
      <c r="E152" s="177" t="s">
        <v>14</v>
      </c>
      <c r="F152" s="167">
        <v>25990</v>
      </c>
      <c r="I152" s="155">
        <v>4019</v>
      </c>
      <c r="J152" s="149" t="s">
        <v>10</v>
      </c>
      <c r="K152" s="149" t="s">
        <v>14</v>
      </c>
      <c r="L152" s="150">
        <v>23990</v>
      </c>
    </row>
    <row r="153" spans="1:12" ht="15.75" customHeight="1" x14ac:dyDescent="0.3">
      <c r="A153" s="215" t="s">
        <v>48</v>
      </c>
      <c r="B153" s="215">
        <v>400790</v>
      </c>
      <c r="C153" s="171" t="s">
        <v>58</v>
      </c>
      <c r="D153" s="170" t="s">
        <v>11</v>
      </c>
      <c r="E153" s="170" t="s">
        <v>14</v>
      </c>
      <c r="F153" s="29">
        <v>26990</v>
      </c>
      <c r="I153" s="141">
        <v>4051</v>
      </c>
      <c r="J153" s="142" t="s">
        <v>11</v>
      </c>
      <c r="K153" s="142" t="s">
        <v>14</v>
      </c>
      <c r="L153" s="143">
        <v>23990</v>
      </c>
    </row>
    <row r="154" spans="1:12" ht="15.75" customHeight="1" x14ac:dyDescent="0.3">
      <c r="A154" s="241" t="s">
        <v>59</v>
      </c>
      <c r="B154" s="241">
        <v>401100</v>
      </c>
      <c r="C154" s="171" t="s">
        <v>60</v>
      </c>
      <c r="D154" s="177" t="s">
        <v>6</v>
      </c>
      <c r="E154" s="177" t="s">
        <v>13</v>
      </c>
      <c r="F154" s="167">
        <v>24990</v>
      </c>
      <c r="I154" s="144">
        <v>4056</v>
      </c>
      <c r="J154" s="145" t="s">
        <v>11</v>
      </c>
      <c r="K154" s="145" t="s">
        <v>14</v>
      </c>
      <c r="L154" s="146">
        <v>24990</v>
      </c>
    </row>
    <row r="155" spans="1:12" x14ac:dyDescent="0.3">
      <c r="A155" s="241" t="s">
        <v>61</v>
      </c>
      <c r="B155" s="241">
        <v>401101</v>
      </c>
      <c r="C155" s="171" t="s">
        <v>62</v>
      </c>
      <c r="D155" s="177" t="s">
        <v>6</v>
      </c>
      <c r="E155" s="177" t="s">
        <v>13</v>
      </c>
      <c r="F155" s="167">
        <v>24990</v>
      </c>
      <c r="I155" s="144" t="s">
        <v>63</v>
      </c>
      <c r="J155" s="145" t="s">
        <v>6</v>
      </c>
      <c r="K155" s="145" t="s">
        <v>14</v>
      </c>
      <c r="L155" s="146">
        <v>26990</v>
      </c>
    </row>
    <row r="156" spans="1:12" ht="16.5" customHeight="1" thickBot="1" x14ac:dyDescent="0.35">
      <c r="A156" s="241" t="s">
        <v>64</v>
      </c>
      <c r="B156" s="241">
        <v>401101</v>
      </c>
      <c r="C156" s="171" t="s">
        <v>65</v>
      </c>
      <c r="D156" s="177" t="s">
        <v>6</v>
      </c>
      <c r="E156" s="177" t="s">
        <v>13</v>
      </c>
      <c r="F156" s="167">
        <v>24990</v>
      </c>
      <c r="I156" s="155" t="s">
        <v>66</v>
      </c>
      <c r="J156" s="149" t="s">
        <v>6</v>
      </c>
      <c r="K156" s="149" t="s">
        <v>14</v>
      </c>
      <c r="L156" s="150">
        <v>26990</v>
      </c>
    </row>
    <row r="157" spans="1:12" ht="15.75" customHeight="1" x14ac:dyDescent="0.3">
      <c r="A157" s="242" t="s">
        <v>67</v>
      </c>
      <c r="B157" s="242">
        <v>401200</v>
      </c>
      <c r="C157" s="366" t="s">
        <v>68</v>
      </c>
      <c r="D157" s="184" t="s">
        <v>6</v>
      </c>
      <c r="E157" s="184" t="s">
        <v>13</v>
      </c>
      <c r="F157" s="169">
        <v>25990</v>
      </c>
      <c r="I157" s="141">
        <v>4010</v>
      </c>
      <c r="J157" s="142" t="s">
        <v>6</v>
      </c>
      <c r="K157" s="142" t="s">
        <v>7</v>
      </c>
      <c r="L157" s="166">
        <v>24990</v>
      </c>
    </row>
    <row r="158" spans="1:12" x14ac:dyDescent="0.3">
      <c r="A158" s="242" t="s">
        <v>69</v>
      </c>
      <c r="B158" s="242">
        <v>401201</v>
      </c>
      <c r="C158" s="366" t="s">
        <v>70</v>
      </c>
      <c r="D158" s="184" t="s">
        <v>6</v>
      </c>
      <c r="E158" s="184" t="s">
        <v>13</v>
      </c>
      <c r="F158" s="169">
        <v>25990</v>
      </c>
      <c r="I158" s="173" t="s">
        <v>71</v>
      </c>
      <c r="J158" s="174" t="s">
        <v>6</v>
      </c>
      <c r="K158" s="174" t="s">
        <v>7</v>
      </c>
      <c r="L158" s="175">
        <v>24990</v>
      </c>
    </row>
    <row r="159" spans="1:12" ht="15" customHeight="1" x14ac:dyDescent="0.3">
      <c r="A159" s="243" t="s">
        <v>69</v>
      </c>
      <c r="B159" s="243">
        <v>401201</v>
      </c>
      <c r="C159" s="366" t="s">
        <v>72</v>
      </c>
      <c r="D159" s="184" t="s">
        <v>6</v>
      </c>
      <c r="E159" s="184" t="s">
        <v>13</v>
      </c>
      <c r="F159" s="169">
        <v>25990</v>
      </c>
      <c r="I159" s="173" t="s">
        <v>73</v>
      </c>
      <c r="J159" s="174" t="s">
        <v>6</v>
      </c>
      <c r="K159" s="174" t="s">
        <v>7</v>
      </c>
      <c r="L159" s="175">
        <v>24990</v>
      </c>
    </row>
    <row r="160" spans="1:12" ht="15.75" customHeight="1" x14ac:dyDescent="0.3">
      <c r="A160" s="241" t="s">
        <v>74</v>
      </c>
      <c r="B160" s="241">
        <v>401500</v>
      </c>
      <c r="C160" s="171" t="s">
        <v>75</v>
      </c>
      <c r="D160" s="183" t="s">
        <v>6</v>
      </c>
      <c r="E160" s="177" t="s">
        <v>14</v>
      </c>
      <c r="F160" s="167">
        <v>23990</v>
      </c>
      <c r="I160" s="144">
        <v>4021</v>
      </c>
      <c r="J160" s="145" t="s">
        <v>6</v>
      </c>
      <c r="K160" s="145" t="s">
        <v>7</v>
      </c>
      <c r="L160" s="167">
        <v>24990</v>
      </c>
    </row>
    <row r="161" spans="1:12" x14ac:dyDescent="0.3">
      <c r="A161" s="241" t="s">
        <v>76</v>
      </c>
      <c r="B161" s="241">
        <v>401501</v>
      </c>
      <c r="C161" s="171" t="s">
        <v>77</v>
      </c>
      <c r="D161" s="183" t="s">
        <v>6</v>
      </c>
      <c r="E161" s="177" t="s">
        <v>14</v>
      </c>
      <c r="F161" s="167">
        <v>23990</v>
      </c>
      <c r="I161" s="144" t="s">
        <v>78</v>
      </c>
      <c r="J161" s="145" t="s">
        <v>6</v>
      </c>
      <c r="K161" s="145" t="s">
        <v>7</v>
      </c>
      <c r="L161" s="167">
        <v>26990</v>
      </c>
    </row>
    <row r="162" spans="1:12" ht="15.75" customHeight="1" x14ac:dyDescent="0.3">
      <c r="A162" s="241" t="s">
        <v>55</v>
      </c>
      <c r="B162" s="241">
        <v>401590</v>
      </c>
      <c r="C162" s="171" t="s">
        <v>79</v>
      </c>
      <c r="D162" s="183" t="s">
        <v>6</v>
      </c>
      <c r="E162" s="177" t="s">
        <v>14</v>
      </c>
      <c r="F162" s="167">
        <v>27990</v>
      </c>
      <c r="I162" s="144">
        <v>4023</v>
      </c>
      <c r="J162" s="145" t="s">
        <v>6</v>
      </c>
      <c r="K162" s="145" t="s">
        <v>7</v>
      </c>
      <c r="L162" s="167">
        <v>23990</v>
      </c>
    </row>
    <row r="163" spans="1:12" ht="15.75" customHeight="1" thickBot="1" x14ac:dyDescent="0.35">
      <c r="A163" s="241" t="s">
        <v>80</v>
      </c>
      <c r="B163" s="241">
        <v>401600</v>
      </c>
      <c r="C163" s="171" t="s">
        <v>81</v>
      </c>
      <c r="D163" s="177" t="s">
        <v>6</v>
      </c>
      <c r="E163" s="177" t="s">
        <v>14</v>
      </c>
      <c r="F163" s="167">
        <v>24990</v>
      </c>
      <c r="I163" s="155">
        <v>4042</v>
      </c>
      <c r="J163" s="149" t="s">
        <v>10</v>
      </c>
      <c r="K163" s="149" t="s">
        <v>7</v>
      </c>
      <c r="L163" s="168">
        <v>24990</v>
      </c>
    </row>
    <row r="164" spans="1:12" ht="15.75" customHeight="1" x14ac:dyDescent="0.3">
      <c r="A164" s="241" t="s">
        <v>82</v>
      </c>
      <c r="B164" s="241">
        <v>401601</v>
      </c>
      <c r="C164" s="171" t="s">
        <v>83</v>
      </c>
      <c r="D164" s="177" t="s">
        <v>6</v>
      </c>
      <c r="E164" s="177" t="s">
        <v>14</v>
      </c>
      <c r="F164" s="167">
        <v>24990</v>
      </c>
      <c r="I164" s="142">
        <v>4033</v>
      </c>
      <c r="J164" s="142" t="s">
        <v>11</v>
      </c>
      <c r="K164" s="142" t="s">
        <v>9</v>
      </c>
      <c r="L164" s="143">
        <v>24990</v>
      </c>
    </row>
    <row r="165" spans="1:12" ht="15" customHeight="1" x14ac:dyDescent="0.3">
      <c r="A165" s="242" t="s">
        <v>71</v>
      </c>
      <c r="B165" s="242">
        <v>401700</v>
      </c>
      <c r="C165" s="366" t="s">
        <v>84</v>
      </c>
      <c r="D165" s="184" t="s">
        <v>6</v>
      </c>
      <c r="E165" s="184" t="s">
        <v>7</v>
      </c>
      <c r="F165" s="169">
        <v>24990</v>
      </c>
      <c r="I165" s="145">
        <v>4053</v>
      </c>
      <c r="J165" s="145" t="s">
        <v>6</v>
      </c>
      <c r="K165" s="145" t="s">
        <v>9</v>
      </c>
      <c r="L165" s="146">
        <v>24990</v>
      </c>
    </row>
    <row r="166" spans="1:12" ht="15.75" customHeight="1" x14ac:dyDescent="0.3">
      <c r="A166" s="217" t="s">
        <v>85</v>
      </c>
      <c r="B166" s="217">
        <v>401701</v>
      </c>
      <c r="C166" s="182" t="s">
        <v>86</v>
      </c>
      <c r="D166" s="176" t="s">
        <v>11</v>
      </c>
      <c r="E166" s="176" t="s">
        <v>7</v>
      </c>
      <c r="F166" s="29">
        <v>24990</v>
      </c>
      <c r="I166" s="145">
        <v>4059</v>
      </c>
      <c r="J166" s="145" t="s">
        <v>6</v>
      </c>
      <c r="K166" s="145" t="s">
        <v>9</v>
      </c>
      <c r="L166" s="146">
        <v>25990</v>
      </c>
    </row>
    <row r="167" spans="1:12" ht="15" customHeight="1" x14ac:dyDescent="0.3">
      <c r="A167" s="242" t="s">
        <v>73</v>
      </c>
      <c r="B167" s="242">
        <v>401703</v>
      </c>
      <c r="C167" s="366" t="s">
        <v>87</v>
      </c>
      <c r="D167" s="184" t="s">
        <v>6</v>
      </c>
      <c r="E167" s="184" t="s">
        <v>7</v>
      </c>
      <c r="F167" s="169">
        <v>24990</v>
      </c>
      <c r="I167" s="145">
        <v>4059</v>
      </c>
      <c r="J167" s="145" t="s">
        <v>6</v>
      </c>
      <c r="K167" s="145" t="s">
        <v>9</v>
      </c>
      <c r="L167" s="146">
        <v>25990</v>
      </c>
    </row>
    <row r="168" spans="1:12" x14ac:dyDescent="0.3">
      <c r="A168" s="241" t="s">
        <v>88</v>
      </c>
      <c r="B168" s="241">
        <v>402100</v>
      </c>
      <c r="C168" s="171" t="s">
        <v>89</v>
      </c>
      <c r="D168" s="177" t="s">
        <v>6</v>
      </c>
      <c r="E168" s="177" t="s">
        <v>7</v>
      </c>
      <c r="F168" s="167">
        <v>24990</v>
      </c>
      <c r="I168" s="145">
        <v>4064</v>
      </c>
      <c r="J168" s="145" t="s">
        <v>6</v>
      </c>
      <c r="K168" s="145" t="s">
        <v>9</v>
      </c>
      <c r="L168" s="146">
        <v>25990</v>
      </c>
    </row>
    <row r="169" spans="1:12" ht="16.5" customHeight="1" thickBot="1" x14ac:dyDescent="0.35">
      <c r="A169" s="215" t="s">
        <v>78</v>
      </c>
      <c r="B169" s="215">
        <v>402190</v>
      </c>
      <c r="C169" s="171" t="s">
        <v>90</v>
      </c>
      <c r="D169" s="177" t="s">
        <v>6</v>
      </c>
      <c r="E169" s="177" t="s">
        <v>7</v>
      </c>
      <c r="F169" s="167">
        <v>26990</v>
      </c>
      <c r="I169" s="149">
        <v>4064</v>
      </c>
      <c r="J169" s="149" t="s">
        <v>6</v>
      </c>
      <c r="K169" s="149" t="s">
        <v>9</v>
      </c>
      <c r="L169" s="150">
        <v>25990</v>
      </c>
    </row>
    <row r="170" spans="1:12" ht="15" customHeight="1" x14ac:dyDescent="0.3">
      <c r="A170" s="241" t="s">
        <v>91</v>
      </c>
      <c r="B170" s="241">
        <v>402300</v>
      </c>
      <c r="C170" s="171" t="s">
        <v>92</v>
      </c>
      <c r="D170" s="177" t="s">
        <v>6</v>
      </c>
      <c r="E170" s="177" t="s">
        <v>7</v>
      </c>
      <c r="F170" s="167">
        <v>23990</v>
      </c>
    </row>
    <row r="171" spans="1:12" x14ac:dyDescent="0.3">
      <c r="A171" s="241" t="s">
        <v>93</v>
      </c>
      <c r="B171" s="241">
        <v>402390</v>
      </c>
      <c r="C171" s="171" t="s">
        <v>94</v>
      </c>
      <c r="D171" s="177" t="s">
        <v>6</v>
      </c>
      <c r="E171" s="177" t="s">
        <v>7</v>
      </c>
      <c r="F171" s="167">
        <v>23990</v>
      </c>
    </row>
    <row r="172" spans="1:12" ht="15" customHeight="1" x14ac:dyDescent="0.3">
      <c r="A172" s="215" t="s">
        <v>95</v>
      </c>
      <c r="B172" s="215">
        <v>402500</v>
      </c>
      <c r="C172" s="171" t="s">
        <v>96</v>
      </c>
      <c r="D172" s="170" t="s">
        <v>6</v>
      </c>
      <c r="E172" s="170" t="s">
        <v>12</v>
      </c>
      <c r="F172" s="29">
        <v>26990</v>
      </c>
    </row>
    <row r="173" spans="1:12" ht="15.75" customHeight="1" x14ac:dyDescent="0.3">
      <c r="A173" s="215" t="s">
        <v>97</v>
      </c>
      <c r="B173" s="215">
        <v>402501</v>
      </c>
      <c r="C173" s="171" t="s">
        <v>98</v>
      </c>
      <c r="D173" s="170" t="s">
        <v>6</v>
      </c>
      <c r="E173" s="170" t="s">
        <v>12</v>
      </c>
      <c r="F173" s="29">
        <v>26990</v>
      </c>
    </row>
    <row r="174" spans="1:12" ht="15" customHeight="1" x14ac:dyDescent="0.3">
      <c r="A174" s="241" t="s">
        <v>99</v>
      </c>
      <c r="B174" s="241">
        <v>402700</v>
      </c>
      <c r="C174" s="171" t="s">
        <v>100</v>
      </c>
      <c r="D174" s="177" t="s">
        <v>6</v>
      </c>
      <c r="E174" s="177" t="s">
        <v>13</v>
      </c>
      <c r="F174" s="167">
        <v>26990</v>
      </c>
    </row>
    <row r="175" spans="1:12" x14ac:dyDescent="0.3">
      <c r="A175" s="241" t="s">
        <v>101</v>
      </c>
      <c r="B175" s="241">
        <v>402701</v>
      </c>
      <c r="C175" s="171" t="s">
        <v>102</v>
      </c>
      <c r="D175" s="177" t="s">
        <v>6</v>
      </c>
      <c r="E175" s="177" t="s">
        <v>13</v>
      </c>
      <c r="F175" s="167">
        <v>26990</v>
      </c>
    </row>
    <row r="176" spans="1:12" ht="16.5" customHeight="1" x14ac:dyDescent="0.3">
      <c r="A176" s="241" t="s">
        <v>103</v>
      </c>
      <c r="B176" s="241">
        <v>402900</v>
      </c>
      <c r="C176" s="171" t="s">
        <v>104</v>
      </c>
      <c r="D176" s="177" t="s">
        <v>11</v>
      </c>
      <c r="E176" s="177" t="s">
        <v>105</v>
      </c>
      <c r="F176" s="167">
        <v>26990</v>
      </c>
    </row>
    <row r="177" spans="1:6" ht="15" customHeight="1" x14ac:dyDescent="0.3">
      <c r="A177" s="241" t="s">
        <v>106</v>
      </c>
      <c r="B177" s="241">
        <v>402901</v>
      </c>
      <c r="C177" s="171" t="s">
        <v>107</v>
      </c>
      <c r="D177" s="177" t="s">
        <v>6</v>
      </c>
      <c r="E177" s="177" t="s">
        <v>13</v>
      </c>
      <c r="F177" s="167">
        <v>26990</v>
      </c>
    </row>
    <row r="178" spans="1:6" ht="15" customHeight="1" x14ac:dyDescent="0.3">
      <c r="A178" s="215" t="s">
        <v>108</v>
      </c>
      <c r="B178" s="215">
        <v>403600</v>
      </c>
      <c r="C178" s="171" t="s">
        <v>36</v>
      </c>
      <c r="D178" s="170" t="s">
        <v>6</v>
      </c>
      <c r="E178" s="170" t="s">
        <v>109</v>
      </c>
      <c r="F178" s="29">
        <v>26990</v>
      </c>
    </row>
    <row r="179" spans="1:6" x14ac:dyDescent="0.3">
      <c r="A179" s="244" t="s">
        <v>33</v>
      </c>
      <c r="B179" s="244">
        <v>403690</v>
      </c>
      <c r="C179" s="171"/>
      <c r="D179" s="177" t="s">
        <v>6</v>
      </c>
      <c r="E179" s="177" t="s">
        <v>12</v>
      </c>
      <c r="F179" s="167">
        <v>27990</v>
      </c>
    </row>
    <row r="180" spans="1:6" ht="15.75" customHeight="1" x14ac:dyDescent="0.3">
      <c r="A180" s="215" t="s">
        <v>110</v>
      </c>
      <c r="B180" s="215">
        <v>405600</v>
      </c>
      <c r="C180" s="171" t="s">
        <v>111</v>
      </c>
      <c r="D180" s="170" t="s">
        <v>6</v>
      </c>
      <c r="E180" s="170" t="s">
        <v>14</v>
      </c>
      <c r="F180" s="29">
        <v>24990</v>
      </c>
    </row>
    <row r="181" spans="1:6" ht="15" customHeight="1" x14ac:dyDescent="0.25">
      <c r="A181" s="218" t="s">
        <v>112</v>
      </c>
      <c r="B181" s="218">
        <v>405601</v>
      </c>
      <c r="C181" s="367" t="s">
        <v>113</v>
      </c>
      <c r="D181" s="14" t="s">
        <v>6</v>
      </c>
      <c r="E181" s="14" t="s">
        <v>14</v>
      </c>
      <c r="F181" s="29">
        <v>24990</v>
      </c>
    </row>
    <row r="182" spans="1:6" ht="15" customHeight="1" x14ac:dyDescent="0.3">
      <c r="A182" s="241" t="s">
        <v>114</v>
      </c>
      <c r="B182" s="241">
        <v>405700</v>
      </c>
      <c r="C182" s="171" t="s">
        <v>115</v>
      </c>
      <c r="D182" s="177" t="s">
        <v>11</v>
      </c>
      <c r="E182" s="177" t="s">
        <v>116</v>
      </c>
      <c r="F182" s="167">
        <v>26990</v>
      </c>
    </row>
    <row r="183" spans="1:6" ht="16.5" customHeight="1" x14ac:dyDescent="0.3">
      <c r="A183" s="241" t="s">
        <v>117</v>
      </c>
      <c r="B183" s="241">
        <v>405701</v>
      </c>
      <c r="C183" s="171" t="s">
        <v>118</v>
      </c>
      <c r="D183" s="177" t="s">
        <v>6</v>
      </c>
      <c r="E183" s="177" t="s">
        <v>13</v>
      </c>
      <c r="F183" s="167">
        <v>26990</v>
      </c>
    </row>
    <row r="184" spans="1:6" x14ac:dyDescent="0.3">
      <c r="A184" s="241" t="s">
        <v>119</v>
      </c>
      <c r="B184" s="241">
        <v>405900</v>
      </c>
      <c r="C184" s="171" t="s">
        <v>120</v>
      </c>
      <c r="D184" s="177" t="s">
        <v>6</v>
      </c>
      <c r="E184" s="177" t="s">
        <v>9</v>
      </c>
      <c r="F184" s="167">
        <v>25990</v>
      </c>
    </row>
    <row r="185" spans="1:6" x14ac:dyDescent="0.3">
      <c r="A185" s="241" t="s">
        <v>119</v>
      </c>
      <c r="B185" s="241">
        <v>405900</v>
      </c>
      <c r="C185" s="171" t="s">
        <v>121</v>
      </c>
      <c r="D185" s="177" t="s">
        <v>6</v>
      </c>
      <c r="E185" s="177" t="s">
        <v>9</v>
      </c>
      <c r="F185" s="167">
        <v>25990</v>
      </c>
    </row>
    <row r="186" spans="1:6" ht="15" customHeight="1" x14ac:dyDescent="0.3">
      <c r="A186" s="241" t="s">
        <v>122</v>
      </c>
      <c r="B186" s="241">
        <v>405901</v>
      </c>
      <c r="C186" s="171" t="s">
        <v>123</v>
      </c>
      <c r="D186" s="177" t="s">
        <v>6</v>
      </c>
      <c r="E186" s="177" t="s">
        <v>9</v>
      </c>
      <c r="F186" s="167">
        <v>25990</v>
      </c>
    </row>
    <row r="187" spans="1:6" ht="15.75" customHeight="1" x14ac:dyDescent="0.3">
      <c r="A187" s="241" t="s">
        <v>122</v>
      </c>
      <c r="B187" s="241">
        <v>405901</v>
      </c>
      <c r="C187" s="171" t="s">
        <v>124</v>
      </c>
      <c r="D187" s="177" t="s">
        <v>6</v>
      </c>
      <c r="E187" s="177" t="s">
        <v>9</v>
      </c>
      <c r="F187" s="167">
        <v>25990</v>
      </c>
    </row>
    <row r="188" spans="1:6" x14ac:dyDescent="0.3">
      <c r="A188" s="215" t="s">
        <v>125</v>
      </c>
      <c r="B188" s="215">
        <v>406000</v>
      </c>
      <c r="C188" s="171" t="s">
        <v>40</v>
      </c>
      <c r="D188" s="170" t="s">
        <v>11</v>
      </c>
      <c r="E188" s="170" t="s">
        <v>14</v>
      </c>
      <c r="F188" s="29">
        <v>24990</v>
      </c>
    </row>
    <row r="189" spans="1:6" ht="16.5" customHeight="1" x14ac:dyDescent="0.25">
      <c r="A189" s="218" t="s">
        <v>126</v>
      </c>
      <c r="B189" s="218">
        <v>406006</v>
      </c>
      <c r="C189" s="367" t="s">
        <v>127</v>
      </c>
      <c r="D189" s="14" t="s">
        <v>11</v>
      </c>
      <c r="E189" s="14" t="s">
        <v>14</v>
      </c>
      <c r="F189" s="29">
        <v>24990</v>
      </c>
    </row>
    <row r="190" spans="1:6" ht="16.5" customHeight="1" x14ac:dyDescent="0.25">
      <c r="A190" s="218" t="s">
        <v>128</v>
      </c>
      <c r="B190" s="218">
        <v>406030</v>
      </c>
      <c r="C190" s="367" t="s">
        <v>129</v>
      </c>
      <c r="D190" s="14" t="s">
        <v>6</v>
      </c>
      <c r="E190" s="14" t="s">
        <v>14</v>
      </c>
      <c r="F190" s="29">
        <v>24990</v>
      </c>
    </row>
    <row r="191" spans="1:6" ht="15" customHeight="1" x14ac:dyDescent="0.3">
      <c r="A191" s="215" t="s">
        <v>130</v>
      </c>
      <c r="B191" s="215">
        <v>406100</v>
      </c>
      <c r="C191" s="171" t="s">
        <v>131</v>
      </c>
      <c r="D191" s="170" t="s">
        <v>6</v>
      </c>
      <c r="E191" s="170" t="s">
        <v>12</v>
      </c>
      <c r="F191" s="29">
        <v>26990</v>
      </c>
    </row>
    <row r="192" spans="1:6" ht="15" customHeight="1" x14ac:dyDescent="0.3">
      <c r="A192" s="215" t="s">
        <v>132</v>
      </c>
      <c r="B192" s="215">
        <v>406106</v>
      </c>
      <c r="C192" s="171" t="s">
        <v>127</v>
      </c>
      <c r="D192" s="170" t="s">
        <v>11</v>
      </c>
      <c r="E192" s="170" t="s">
        <v>14</v>
      </c>
      <c r="F192" s="29">
        <v>24990</v>
      </c>
    </row>
    <row r="193" spans="1:6" ht="15" customHeight="1" x14ac:dyDescent="0.3">
      <c r="A193" s="215" t="s">
        <v>132</v>
      </c>
      <c r="B193" s="215">
        <v>406106</v>
      </c>
      <c r="C193" s="171" t="s">
        <v>133</v>
      </c>
      <c r="D193" s="170" t="s">
        <v>6</v>
      </c>
      <c r="E193" s="170" t="s">
        <v>12</v>
      </c>
      <c r="F193" s="29">
        <v>26990</v>
      </c>
    </row>
    <row r="194" spans="1:6" ht="15" customHeight="1" x14ac:dyDescent="0.3">
      <c r="A194" s="215" t="s">
        <v>134</v>
      </c>
      <c r="B194" s="215">
        <v>406138</v>
      </c>
      <c r="C194" s="171" t="s">
        <v>129</v>
      </c>
      <c r="D194" s="170" t="s">
        <v>6</v>
      </c>
      <c r="E194" s="170" t="s">
        <v>14</v>
      </c>
      <c r="F194" s="29">
        <v>24990</v>
      </c>
    </row>
    <row r="195" spans="1:6" ht="15" customHeight="1" x14ac:dyDescent="0.3">
      <c r="A195" s="215" t="s">
        <v>134</v>
      </c>
      <c r="B195" s="215">
        <v>406138</v>
      </c>
      <c r="C195" s="171" t="s">
        <v>135</v>
      </c>
      <c r="D195" s="170" t="s">
        <v>11</v>
      </c>
      <c r="E195" s="170" t="s">
        <v>12</v>
      </c>
      <c r="F195" s="29">
        <v>26990</v>
      </c>
    </row>
    <row r="196" spans="1:6" x14ac:dyDescent="0.3">
      <c r="A196" s="241" t="s">
        <v>63</v>
      </c>
      <c r="B196" s="241">
        <v>406200</v>
      </c>
      <c r="C196" s="171" t="s">
        <v>40</v>
      </c>
      <c r="D196" s="177" t="s">
        <v>6</v>
      </c>
      <c r="E196" s="177" t="s">
        <v>13</v>
      </c>
      <c r="F196" s="167">
        <v>26990</v>
      </c>
    </row>
    <row r="197" spans="1:6" ht="15.75" customHeight="1" x14ac:dyDescent="0.3">
      <c r="A197" s="215" t="s">
        <v>136</v>
      </c>
      <c r="B197" s="215">
        <v>406206</v>
      </c>
      <c r="C197" s="171" t="s">
        <v>137</v>
      </c>
      <c r="D197" s="170" t="s">
        <v>138</v>
      </c>
      <c r="E197" s="170" t="s">
        <v>105</v>
      </c>
      <c r="F197" s="29">
        <v>26990</v>
      </c>
    </row>
    <row r="198" spans="1:6" x14ac:dyDescent="0.3">
      <c r="A198" s="241" t="s">
        <v>66</v>
      </c>
      <c r="B198" s="241">
        <v>406209</v>
      </c>
      <c r="C198" s="171"/>
      <c r="D198" s="177" t="s">
        <v>6</v>
      </c>
      <c r="E198" s="177" t="s">
        <v>14</v>
      </c>
      <c r="F198" s="167">
        <v>26990</v>
      </c>
    </row>
    <row r="199" spans="1:6" x14ac:dyDescent="0.3">
      <c r="A199" s="215" t="s">
        <v>139</v>
      </c>
      <c r="B199" s="215">
        <v>406238</v>
      </c>
      <c r="C199" s="171" t="s">
        <v>140</v>
      </c>
      <c r="D199" s="170" t="s">
        <v>141</v>
      </c>
      <c r="E199" s="170" t="s">
        <v>105</v>
      </c>
      <c r="F199" s="29">
        <v>26990</v>
      </c>
    </row>
    <row r="200" spans="1:6" ht="15" customHeight="1" x14ac:dyDescent="0.3">
      <c r="A200" s="241" t="s">
        <v>35</v>
      </c>
      <c r="B200" s="241">
        <v>406300</v>
      </c>
      <c r="C200" s="171" t="s">
        <v>142</v>
      </c>
      <c r="D200" s="177" t="s">
        <v>6</v>
      </c>
      <c r="E200" s="177" t="s">
        <v>12</v>
      </c>
      <c r="F200" s="167">
        <v>26990</v>
      </c>
    </row>
    <row r="201" spans="1:6" ht="15" customHeight="1" x14ac:dyDescent="0.3">
      <c r="A201" s="245" t="s">
        <v>143</v>
      </c>
      <c r="B201" s="245">
        <v>406301</v>
      </c>
      <c r="C201" s="171" t="s">
        <v>144</v>
      </c>
      <c r="D201" s="177" t="s">
        <v>6</v>
      </c>
      <c r="E201" s="177" t="s">
        <v>12</v>
      </c>
      <c r="F201" s="167">
        <v>26990</v>
      </c>
    </row>
    <row r="202" spans="1:6" ht="15" customHeight="1" x14ac:dyDescent="0.3">
      <c r="A202" s="245" t="s">
        <v>145</v>
      </c>
      <c r="B202" s="245">
        <v>406401</v>
      </c>
      <c r="C202" s="171" t="s">
        <v>146</v>
      </c>
      <c r="D202" s="177" t="s">
        <v>6</v>
      </c>
      <c r="E202" s="177" t="s">
        <v>41</v>
      </c>
      <c r="F202" s="167">
        <v>25991</v>
      </c>
    </row>
    <row r="203" spans="1:6" x14ac:dyDescent="0.3">
      <c r="A203" s="219" t="s">
        <v>147</v>
      </c>
      <c r="B203" s="219">
        <v>406500</v>
      </c>
      <c r="C203" s="171" t="s">
        <v>148</v>
      </c>
      <c r="D203" s="170" t="s">
        <v>6</v>
      </c>
      <c r="E203" s="170" t="s">
        <v>12</v>
      </c>
      <c r="F203" s="29">
        <v>26990</v>
      </c>
    </row>
    <row r="204" spans="1:6" x14ac:dyDescent="0.3">
      <c r="A204" s="219" t="s">
        <v>149</v>
      </c>
      <c r="B204" s="219">
        <v>406506</v>
      </c>
      <c r="C204" s="171" t="s">
        <v>150</v>
      </c>
      <c r="D204" s="170" t="s">
        <v>6</v>
      </c>
      <c r="E204" s="170" t="s">
        <v>12</v>
      </c>
      <c r="F204" s="29">
        <v>26990</v>
      </c>
    </row>
    <row r="205" spans="1:6" x14ac:dyDescent="0.3">
      <c r="A205" s="219" t="s">
        <v>151</v>
      </c>
      <c r="B205" s="219">
        <v>406538</v>
      </c>
      <c r="C205" s="171" t="s">
        <v>152</v>
      </c>
      <c r="D205" s="170" t="s">
        <v>6</v>
      </c>
      <c r="E205" s="170" t="s">
        <v>12</v>
      </c>
      <c r="F205" s="29">
        <v>26990</v>
      </c>
    </row>
    <row r="206" spans="1:6" x14ac:dyDescent="0.3">
      <c r="A206" s="219" t="s">
        <v>153</v>
      </c>
      <c r="B206" s="219">
        <v>406560</v>
      </c>
      <c r="C206" s="171" t="s">
        <v>154</v>
      </c>
      <c r="D206" s="170" t="s">
        <v>6</v>
      </c>
      <c r="E206" s="170" t="s">
        <v>12</v>
      </c>
      <c r="F206" s="29">
        <v>28990</v>
      </c>
    </row>
    <row r="207" spans="1:6" x14ac:dyDescent="0.3">
      <c r="A207" s="219" t="s">
        <v>155</v>
      </c>
      <c r="B207" s="219">
        <v>406630</v>
      </c>
      <c r="C207" s="171"/>
      <c r="D207" s="170"/>
      <c r="E207" s="170"/>
      <c r="F207" s="29"/>
    </row>
    <row r="208" spans="1:6" x14ac:dyDescent="0.3">
      <c r="A208" s="219" t="s">
        <v>156</v>
      </c>
      <c r="B208" s="219">
        <v>406660</v>
      </c>
      <c r="C208" s="171" t="s">
        <v>157</v>
      </c>
      <c r="D208" s="170" t="s">
        <v>6</v>
      </c>
      <c r="E208" s="170" t="s">
        <v>13</v>
      </c>
      <c r="F208" s="29">
        <v>28990</v>
      </c>
    </row>
    <row r="209" spans="1:6" x14ac:dyDescent="0.3">
      <c r="A209" s="219" t="s">
        <v>158</v>
      </c>
      <c r="B209" s="219">
        <v>406760</v>
      </c>
      <c r="C209" s="171" t="s">
        <v>159</v>
      </c>
      <c r="D209" s="170" t="s">
        <v>6</v>
      </c>
      <c r="E209" s="170" t="s">
        <v>14</v>
      </c>
      <c r="F209" s="29">
        <v>26990</v>
      </c>
    </row>
    <row r="210" spans="1:6" ht="16.5" customHeight="1" x14ac:dyDescent="0.25">
      <c r="A210" s="220" t="s">
        <v>160</v>
      </c>
      <c r="B210" s="220">
        <v>407038</v>
      </c>
      <c r="C210" s="182" t="s">
        <v>161</v>
      </c>
      <c r="D210" s="176" t="s">
        <v>6</v>
      </c>
      <c r="E210" s="176" t="s">
        <v>12</v>
      </c>
      <c r="F210" s="29">
        <v>26990</v>
      </c>
    </row>
    <row r="211" spans="1:6" ht="16.5" customHeight="1" x14ac:dyDescent="0.25">
      <c r="A211" s="220"/>
      <c r="B211" s="220"/>
      <c r="C211" s="182" t="s">
        <v>32</v>
      </c>
      <c r="D211" s="176" t="s">
        <v>6</v>
      </c>
      <c r="E211" s="176" t="s">
        <v>14</v>
      </c>
      <c r="F211" s="29">
        <v>23990</v>
      </c>
    </row>
    <row r="212" spans="1:6" x14ac:dyDescent="0.3">
      <c r="A212" s="219" t="s">
        <v>162</v>
      </c>
      <c r="B212" s="219">
        <v>407100</v>
      </c>
      <c r="C212" s="171" t="s">
        <v>163</v>
      </c>
      <c r="D212" s="170" t="s">
        <v>164</v>
      </c>
      <c r="E212" s="170" t="s">
        <v>165</v>
      </c>
      <c r="F212" s="29"/>
    </row>
    <row r="213" spans="1:6" x14ac:dyDescent="0.3">
      <c r="A213" s="219" t="s">
        <v>166</v>
      </c>
      <c r="B213" s="219">
        <v>407101</v>
      </c>
      <c r="C213" s="171" t="s">
        <v>167</v>
      </c>
      <c r="D213" s="170" t="s">
        <v>164</v>
      </c>
      <c r="E213" s="170" t="s">
        <v>165</v>
      </c>
      <c r="F213" s="29"/>
    </row>
    <row r="214" spans="1:6" x14ac:dyDescent="0.3">
      <c r="A214" s="219" t="s">
        <v>168</v>
      </c>
      <c r="B214" s="219">
        <v>407301</v>
      </c>
      <c r="C214" s="171" t="s">
        <v>169</v>
      </c>
      <c r="D214" s="170"/>
      <c r="E214" s="170"/>
      <c r="F214" s="29"/>
    </row>
    <row r="215" spans="1:6" x14ac:dyDescent="0.3">
      <c r="A215" s="219" t="s">
        <v>170</v>
      </c>
      <c r="B215" s="219">
        <v>407300</v>
      </c>
      <c r="C215" s="171" t="s">
        <v>171</v>
      </c>
      <c r="D215" s="170"/>
      <c r="E215" s="170"/>
      <c r="F215" s="29"/>
    </row>
    <row r="216" spans="1:6" x14ac:dyDescent="0.3">
      <c r="A216" s="219" t="s">
        <v>172</v>
      </c>
      <c r="B216" s="219">
        <v>407201</v>
      </c>
      <c r="C216" s="171" t="s">
        <v>173</v>
      </c>
      <c r="D216" s="170"/>
      <c r="E216" s="170"/>
      <c r="F216" s="29"/>
    </row>
    <row r="217" spans="1:6" x14ac:dyDescent="0.3">
      <c r="A217" s="219" t="s">
        <v>174</v>
      </c>
      <c r="B217" s="219">
        <v>407200</v>
      </c>
      <c r="C217" s="171" t="s">
        <v>175</v>
      </c>
      <c r="D217" s="170"/>
      <c r="E217" s="170"/>
      <c r="F217" s="29"/>
    </row>
    <row r="218" spans="1:6" x14ac:dyDescent="0.3">
      <c r="A218" s="219">
        <v>4074</v>
      </c>
      <c r="B218" s="219">
        <v>407400</v>
      </c>
      <c r="C218" s="171" t="s">
        <v>176</v>
      </c>
      <c r="D218" s="170" t="s">
        <v>177</v>
      </c>
      <c r="E218" s="170"/>
      <c r="F218" s="29"/>
    </row>
    <row r="219" spans="1:6" x14ac:dyDescent="0.25">
      <c r="A219" s="206">
        <v>4101</v>
      </c>
      <c r="B219" s="206">
        <v>410100</v>
      </c>
      <c r="C219" s="62" t="s">
        <v>178</v>
      </c>
      <c r="D219" s="193" t="s">
        <v>179</v>
      </c>
      <c r="E219" s="194" t="s">
        <v>180</v>
      </c>
      <c r="F219" s="197">
        <v>20990</v>
      </c>
    </row>
    <row r="220" spans="1:6" ht="15.75" customHeight="1" x14ac:dyDescent="0.3">
      <c r="A220" s="219" t="s">
        <v>181</v>
      </c>
      <c r="B220" s="219">
        <v>383460</v>
      </c>
      <c r="C220" s="171" t="s">
        <v>182</v>
      </c>
      <c r="D220" s="170" t="s">
        <v>141</v>
      </c>
      <c r="E220" s="170" t="s">
        <v>183</v>
      </c>
      <c r="F220" s="29">
        <v>26990</v>
      </c>
    </row>
    <row r="221" spans="1:6" ht="15.75" customHeight="1" x14ac:dyDescent="0.25">
      <c r="A221" s="220" t="s">
        <v>184</v>
      </c>
      <c r="B221" s="220">
        <v>412401</v>
      </c>
      <c r="C221" s="368" t="s">
        <v>185</v>
      </c>
      <c r="D221" s="249" t="s">
        <v>141</v>
      </c>
      <c r="E221" s="249" t="s">
        <v>186</v>
      </c>
      <c r="F221" s="212">
        <v>25990</v>
      </c>
    </row>
    <row r="222" spans="1:6" x14ac:dyDescent="0.3">
      <c r="A222" s="219" t="s">
        <v>187</v>
      </c>
      <c r="B222" s="219">
        <v>412500</v>
      </c>
      <c r="C222" s="171" t="s">
        <v>188</v>
      </c>
      <c r="D222" s="170" t="s">
        <v>141</v>
      </c>
      <c r="E222" s="170" t="s">
        <v>105</v>
      </c>
      <c r="F222" s="29">
        <v>26990</v>
      </c>
    </row>
    <row r="223" spans="1:6" ht="15.75" customHeight="1" x14ac:dyDescent="0.25">
      <c r="A223" s="220" t="s">
        <v>189</v>
      </c>
      <c r="B223" s="220">
        <v>413501</v>
      </c>
      <c r="C223" s="368" t="s">
        <v>190</v>
      </c>
      <c r="D223" s="249" t="s">
        <v>191</v>
      </c>
      <c r="E223" s="249" t="s">
        <v>192</v>
      </c>
      <c r="F223" s="212">
        <v>25990</v>
      </c>
    </row>
    <row r="224" spans="1:6" ht="15.75" customHeight="1" x14ac:dyDescent="0.25">
      <c r="A224" s="220" t="s">
        <v>193</v>
      </c>
      <c r="B224" s="220">
        <v>413560</v>
      </c>
      <c r="C224" s="368" t="s">
        <v>194</v>
      </c>
      <c r="D224" s="249" t="s">
        <v>191</v>
      </c>
      <c r="E224" s="249" t="s">
        <v>192</v>
      </c>
      <c r="F224" s="212">
        <v>27990</v>
      </c>
    </row>
    <row r="225" spans="1:6" ht="15.75" customHeight="1" x14ac:dyDescent="0.25">
      <c r="A225" s="220" t="s">
        <v>195</v>
      </c>
      <c r="B225" s="220">
        <v>413561</v>
      </c>
      <c r="C225" s="368" t="s">
        <v>196</v>
      </c>
      <c r="D225" s="249" t="s">
        <v>191</v>
      </c>
      <c r="E225" s="249" t="s">
        <v>192</v>
      </c>
      <c r="F225" s="212">
        <v>25990</v>
      </c>
    </row>
    <row r="226" spans="1:6" ht="15.75" customHeight="1" x14ac:dyDescent="0.25">
      <c r="A226" s="220" t="s">
        <v>197</v>
      </c>
      <c r="B226" s="220">
        <v>414261</v>
      </c>
      <c r="C226" s="368" t="s">
        <v>198</v>
      </c>
      <c r="D226" s="249" t="s">
        <v>141</v>
      </c>
      <c r="E226" s="249" t="s">
        <v>199</v>
      </c>
      <c r="F226" s="212">
        <v>27990</v>
      </c>
    </row>
    <row r="227" spans="1:6" ht="15.75" customHeight="1" x14ac:dyDescent="0.25">
      <c r="A227" s="220" t="s">
        <v>200</v>
      </c>
      <c r="B227" s="220">
        <v>414760</v>
      </c>
      <c r="C227" s="369" t="s">
        <v>201</v>
      </c>
      <c r="D227" s="250" t="s">
        <v>141</v>
      </c>
      <c r="E227" s="250" t="s">
        <v>199</v>
      </c>
      <c r="F227" s="29">
        <v>26990</v>
      </c>
    </row>
    <row r="228" spans="1:6" ht="15.75" customHeight="1" x14ac:dyDescent="0.25">
      <c r="A228" s="220" t="s">
        <v>202</v>
      </c>
      <c r="B228" s="220">
        <v>414800</v>
      </c>
      <c r="C228" s="369" t="s">
        <v>203</v>
      </c>
      <c r="D228" s="250" t="s">
        <v>141</v>
      </c>
      <c r="E228" s="250" t="s">
        <v>192</v>
      </c>
      <c r="F228" s="29">
        <v>25990</v>
      </c>
    </row>
    <row r="229" spans="1:6" ht="15.75" customHeight="1" x14ac:dyDescent="0.25">
      <c r="A229" s="220" t="s">
        <v>204</v>
      </c>
      <c r="B229" s="220">
        <v>414806</v>
      </c>
      <c r="C229" s="368" t="s">
        <v>205</v>
      </c>
      <c r="D229" s="249" t="s">
        <v>141</v>
      </c>
      <c r="E229" s="249" t="s">
        <v>105</v>
      </c>
      <c r="F229" s="212">
        <v>25990</v>
      </c>
    </row>
    <row r="230" spans="1:6" ht="15.75" customHeight="1" x14ac:dyDescent="0.25">
      <c r="A230" s="220" t="s">
        <v>206</v>
      </c>
      <c r="B230" s="220">
        <v>414838</v>
      </c>
      <c r="C230" s="369" t="s">
        <v>207</v>
      </c>
      <c r="D230" s="250" t="s">
        <v>141</v>
      </c>
      <c r="E230" s="250" t="s">
        <v>192</v>
      </c>
      <c r="F230" s="29">
        <v>25990</v>
      </c>
    </row>
    <row r="231" spans="1:6" ht="15.75" customHeight="1" x14ac:dyDescent="0.25">
      <c r="A231" s="220" t="s">
        <v>208</v>
      </c>
      <c r="B231" s="220">
        <v>414860</v>
      </c>
      <c r="C231" s="368" t="s">
        <v>209</v>
      </c>
      <c r="D231" s="249" t="s">
        <v>141</v>
      </c>
      <c r="E231" s="249" t="s">
        <v>192</v>
      </c>
      <c r="F231" s="212">
        <v>26990</v>
      </c>
    </row>
    <row r="232" spans="1:6" ht="15.75" customHeight="1" x14ac:dyDescent="0.25">
      <c r="A232" s="220" t="s">
        <v>208</v>
      </c>
      <c r="B232" s="220">
        <v>414860</v>
      </c>
      <c r="C232" s="369" t="s">
        <v>203</v>
      </c>
      <c r="D232" s="250" t="s">
        <v>141</v>
      </c>
      <c r="E232" s="250" t="s">
        <v>192</v>
      </c>
      <c r="F232" s="29">
        <v>26990</v>
      </c>
    </row>
    <row r="233" spans="1:6" ht="15.75" customHeight="1" x14ac:dyDescent="0.25">
      <c r="A233" s="220" t="s">
        <v>210</v>
      </c>
      <c r="B233" s="220">
        <v>414960</v>
      </c>
      <c r="C233" s="368" t="s">
        <v>211</v>
      </c>
      <c r="D233" s="249" t="s">
        <v>141</v>
      </c>
      <c r="E233" s="249" t="s">
        <v>199</v>
      </c>
      <c r="F233" s="212">
        <v>27990</v>
      </c>
    </row>
    <row r="234" spans="1:6" ht="15.75" customHeight="1" x14ac:dyDescent="0.25">
      <c r="A234" s="220" t="s">
        <v>212</v>
      </c>
      <c r="B234" s="220">
        <v>415700</v>
      </c>
      <c r="C234" s="368" t="s">
        <v>213</v>
      </c>
      <c r="D234" s="249" t="s">
        <v>141</v>
      </c>
      <c r="E234" s="249" t="s">
        <v>199</v>
      </c>
      <c r="F234" s="212">
        <v>24990</v>
      </c>
    </row>
    <row r="235" spans="1:6" ht="15.75" customHeight="1" x14ac:dyDescent="0.25">
      <c r="A235" s="220" t="s">
        <v>214</v>
      </c>
      <c r="B235" s="220">
        <v>415701</v>
      </c>
      <c r="C235" s="368" t="s">
        <v>215</v>
      </c>
      <c r="D235" s="249" t="s">
        <v>141</v>
      </c>
      <c r="E235" s="249" t="s">
        <v>199</v>
      </c>
      <c r="F235" s="212">
        <v>24990</v>
      </c>
    </row>
    <row r="236" spans="1:6" ht="15.75" customHeight="1" x14ac:dyDescent="0.25">
      <c r="A236" s="220" t="s">
        <v>216</v>
      </c>
      <c r="B236" s="220">
        <v>416900</v>
      </c>
      <c r="C236" s="369" t="s">
        <v>217</v>
      </c>
      <c r="D236" s="250" t="s">
        <v>141</v>
      </c>
      <c r="E236" s="250" t="s">
        <v>105</v>
      </c>
      <c r="F236" s="29">
        <v>25990</v>
      </c>
    </row>
    <row r="237" spans="1:6" ht="15.75" customHeight="1" x14ac:dyDescent="0.25">
      <c r="A237" s="220" t="s">
        <v>218</v>
      </c>
      <c r="B237" s="220">
        <v>416901</v>
      </c>
      <c r="C237" s="368" t="s">
        <v>219</v>
      </c>
      <c r="D237" s="249" t="s">
        <v>141</v>
      </c>
      <c r="E237" s="249" t="s">
        <v>105</v>
      </c>
      <c r="F237" s="212">
        <v>25990</v>
      </c>
    </row>
    <row r="238" spans="1:6" ht="15.75" customHeight="1" x14ac:dyDescent="0.25">
      <c r="A238" s="220" t="s">
        <v>218</v>
      </c>
      <c r="B238" s="220">
        <v>416901</v>
      </c>
      <c r="C238" s="369" t="s">
        <v>220</v>
      </c>
      <c r="D238" s="250" t="s">
        <v>141</v>
      </c>
      <c r="E238" s="250" t="s">
        <v>105</v>
      </c>
      <c r="F238" s="29">
        <v>25990</v>
      </c>
    </row>
    <row r="239" spans="1:6" ht="15.75" customHeight="1" x14ac:dyDescent="0.25">
      <c r="A239" s="220" t="s">
        <v>221</v>
      </c>
      <c r="B239" s="220">
        <v>417000</v>
      </c>
      <c r="C239" s="369" t="s">
        <v>222</v>
      </c>
      <c r="D239" s="250" t="s">
        <v>141</v>
      </c>
      <c r="E239" s="250" t="s">
        <v>199</v>
      </c>
      <c r="F239" s="29">
        <v>24990</v>
      </c>
    </row>
    <row r="240" spans="1:6" ht="15.75" customHeight="1" x14ac:dyDescent="0.25">
      <c r="A240" s="220" t="s">
        <v>223</v>
      </c>
      <c r="B240" s="220">
        <v>417001</v>
      </c>
      <c r="C240" s="368" t="s">
        <v>224</v>
      </c>
      <c r="D240" s="249" t="s">
        <v>141</v>
      </c>
      <c r="E240" s="249" t="s">
        <v>199</v>
      </c>
      <c r="F240" s="212">
        <v>24990</v>
      </c>
    </row>
    <row r="241" spans="1:6" ht="15.75" customHeight="1" x14ac:dyDescent="0.25">
      <c r="A241" s="220" t="s">
        <v>225</v>
      </c>
      <c r="B241" s="220">
        <v>417100</v>
      </c>
      <c r="C241" s="368" t="s">
        <v>226</v>
      </c>
      <c r="D241" s="249">
        <v>0</v>
      </c>
      <c r="E241" s="249">
        <v>0</v>
      </c>
      <c r="F241" s="212">
        <v>21990</v>
      </c>
    </row>
    <row r="242" spans="1:6" ht="15.75" customHeight="1" x14ac:dyDescent="0.25">
      <c r="A242" s="220" t="s">
        <v>227</v>
      </c>
      <c r="B242" s="220">
        <v>418060</v>
      </c>
      <c r="C242" s="368" t="s">
        <v>228</v>
      </c>
      <c r="D242" s="249">
        <v>0</v>
      </c>
      <c r="E242" s="249">
        <v>0</v>
      </c>
      <c r="F242" s="212">
        <v>23990</v>
      </c>
    </row>
    <row r="243" spans="1:6" x14ac:dyDescent="0.25">
      <c r="A243" s="206">
        <v>4106</v>
      </c>
      <c r="B243" s="206">
        <v>410600</v>
      </c>
      <c r="C243" s="370" t="s">
        <v>229</v>
      </c>
      <c r="D243" s="208" t="s">
        <v>141</v>
      </c>
      <c r="E243" s="209" t="s">
        <v>12</v>
      </c>
      <c r="F243" s="211">
        <v>26990</v>
      </c>
    </row>
    <row r="244" spans="1:6" x14ac:dyDescent="0.25">
      <c r="A244" s="206">
        <v>4108</v>
      </c>
      <c r="B244" s="206">
        <v>410800</v>
      </c>
      <c r="C244" s="62" t="s">
        <v>230</v>
      </c>
      <c r="D244" s="193" t="s">
        <v>141</v>
      </c>
      <c r="E244" s="194" t="s">
        <v>183</v>
      </c>
      <c r="F244" s="197">
        <v>26990</v>
      </c>
    </row>
    <row r="245" spans="1:6" x14ac:dyDescent="0.25">
      <c r="A245" s="206">
        <v>4108</v>
      </c>
      <c r="B245" s="206">
        <v>410800</v>
      </c>
      <c r="C245" s="370" t="s">
        <v>231</v>
      </c>
      <c r="D245" s="208" t="s">
        <v>232</v>
      </c>
      <c r="E245" s="209" t="s">
        <v>12</v>
      </c>
      <c r="F245" s="211">
        <v>26990</v>
      </c>
    </row>
    <row r="246" spans="1:6" x14ac:dyDescent="0.25">
      <c r="A246" s="206">
        <v>4109</v>
      </c>
      <c r="B246" s="206">
        <v>410900</v>
      </c>
      <c r="C246" s="62" t="s">
        <v>233</v>
      </c>
      <c r="D246" s="193" t="s">
        <v>141</v>
      </c>
      <c r="E246" s="194" t="s">
        <v>183</v>
      </c>
      <c r="F246" s="197">
        <v>26990</v>
      </c>
    </row>
    <row r="247" spans="1:6" x14ac:dyDescent="0.25">
      <c r="A247" s="206">
        <v>4109</v>
      </c>
      <c r="B247" s="206">
        <v>410900</v>
      </c>
      <c r="C247" s="370" t="s">
        <v>234</v>
      </c>
      <c r="D247" s="208" t="s">
        <v>141</v>
      </c>
      <c r="E247" s="209" t="s">
        <v>235</v>
      </c>
      <c r="F247" s="211">
        <v>26990</v>
      </c>
    </row>
    <row r="248" spans="1:6" x14ac:dyDescent="0.25">
      <c r="A248" s="206">
        <v>4110</v>
      </c>
      <c r="B248" s="206">
        <v>411000</v>
      </c>
      <c r="C248" s="370" t="s">
        <v>236</v>
      </c>
      <c r="D248" s="208" t="s">
        <v>141</v>
      </c>
      <c r="E248" s="209" t="s">
        <v>186</v>
      </c>
      <c r="F248" s="211">
        <v>25990</v>
      </c>
    </row>
    <row r="249" spans="1:6" x14ac:dyDescent="0.25">
      <c r="A249" s="206">
        <v>4113</v>
      </c>
      <c r="B249" s="206">
        <v>411300</v>
      </c>
      <c r="C249" s="62" t="s">
        <v>237</v>
      </c>
      <c r="D249" s="193" t="s">
        <v>141</v>
      </c>
      <c r="E249" s="194" t="s">
        <v>105</v>
      </c>
      <c r="F249" s="197">
        <v>25990</v>
      </c>
    </row>
    <row r="250" spans="1:6" x14ac:dyDescent="0.25">
      <c r="A250" s="206">
        <v>4113</v>
      </c>
      <c r="B250" s="206">
        <v>411300</v>
      </c>
      <c r="C250" s="370" t="s">
        <v>238</v>
      </c>
      <c r="D250" s="208" t="s">
        <v>191</v>
      </c>
      <c r="E250" s="209" t="s">
        <v>239</v>
      </c>
      <c r="F250" s="211">
        <v>25990</v>
      </c>
    </row>
    <row r="251" spans="1:6" x14ac:dyDescent="0.25">
      <c r="A251" s="206">
        <v>4116</v>
      </c>
      <c r="B251" s="206">
        <v>411600</v>
      </c>
      <c r="C251" s="62" t="s">
        <v>240</v>
      </c>
      <c r="D251" s="193" t="s">
        <v>241</v>
      </c>
      <c r="E251" s="194" t="s">
        <v>242</v>
      </c>
      <c r="F251" s="197">
        <v>26990</v>
      </c>
    </row>
    <row r="252" spans="1:6" x14ac:dyDescent="0.25">
      <c r="A252" s="206">
        <v>4119</v>
      </c>
      <c r="B252" s="206">
        <v>411900</v>
      </c>
      <c r="C252" s="62" t="s">
        <v>243</v>
      </c>
      <c r="D252" s="193">
        <v>0</v>
      </c>
      <c r="E252" s="194">
        <v>0</v>
      </c>
      <c r="F252" s="197">
        <v>21990</v>
      </c>
    </row>
    <row r="253" spans="1:6" x14ac:dyDescent="0.25">
      <c r="A253" s="206">
        <v>4120</v>
      </c>
      <c r="B253" s="206">
        <v>412000</v>
      </c>
      <c r="C253" s="62" t="s">
        <v>244</v>
      </c>
      <c r="D253" s="193" t="s">
        <v>245</v>
      </c>
      <c r="E253" s="194" t="s">
        <v>246</v>
      </c>
      <c r="F253" s="197">
        <v>20990</v>
      </c>
    </row>
    <row r="254" spans="1:6" x14ac:dyDescent="0.25">
      <c r="A254" s="206">
        <v>4121</v>
      </c>
      <c r="B254" s="206">
        <v>412100</v>
      </c>
      <c r="C254" s="62" t="s">
        <v>247</v>
      </c>
      <c r="D254" s="193" t="s">
        <v>141</v>
      </c>
      <c r="E254" s="194" t="s">
        <v>199</v>
      </c>
      <c r="F254" s="197">
        <v>24990</v>
      </c>
    </row>
    <row r="255" spans="1:6" x14ac:dyDescent="0.25">
      <c r="A255" s="206">
        <v>4122</v>
      </c>
      <c r="B255" s="206">
        <v>412200</v>
      </c>
      <c r="C255" s="62" t="s">
        <v>248</v>
      </c>
      <c r="D255" s="193" t="s">
        <v>141</v>
      </c>
      <c r="E255" s="194" t="s">
        <v>186</v>
      </c>
      <c r="F255" s="197">
        <v>25990</v>
      </c>
    </row>
    <row r="256" spans="1:6" x14ac:dyDescent="0.25">
      <c r="A256" s="206">
        <v>4123</v>
      </c>
      <c r="B256" s="206">
        <v>412300</v>
      </c>
      <c r="C256" s="62" t="s">
        <v>249</v>
      </c>
      <c r="D256" s="193" t="s">
        <v>179</v>
      </c>
      <c r="E256" s="194" t="s">
        <v>180</v>
      </c>
      <c r="F256" s="197">
        <v>20990</v>
      </c>
    </row>
    <row r="257" spans="1:18" x14ac:dyDescent="0.25">
      <c r="A257" s="206" t="s">
        <v>250</v>
      </c>
      <c r="B257" s="206">
        <v>412400</v>
      </c>
      <c r="C257" s="370" t="s">
        <v>251</v>
      </c>
      <c r="D257" s="208" t="s">
        <v>141</v>
      </c>
      <c r="E257" s="209" t="s">
        <v>186</v>
      </c>
      <c r="F257" s="211">
        <v>25990</v>
      </c>
    </row>
    <row r="258" spans="1:18" x14ac:dyDescent="0.25">
      <c r="A258" s="206">
        <v>4128</v>
      </c>
      <c r="B258" s="206">
        <v>412800</v>
      </c>
      <c r="C258" s="62" t="s">
        <v>252</v>
      </c>
      <c r="D258" s="193" t="s">
        <v>141</v>
      </c>
      <c r="E258" s="194" t="s">
        <v>199</v>
      </c>
      <c r="F258" s="197">
        <v>24990</v>
      </c>
    </row>
    <row r="259" spans="1:18" x14ac:dyDescent="0.25">
      <c r="A259" s="206">
        <v>4130</v>
      </c>
      <c r="B259" s="206">
        <v>413000</v>
      </c>
      <c r="C259" s="62" t="s">
        <v>253</v>
      </c>
      <c r="D259" s="193" t="s">
        <v>141</v>
      </c>
      <c r="E259" s="194" t="s">
        <v>199</v>
      </c>
      <c r="F259" s="197">
        <v>24990</v>
      </c>
    </row>
    <row r="260" spans="1:18" x14ac:dyDescent="0.25">
      <c r="A260" s="206">
        <v>4135</v>
      </c>
      <c r="B260" s="206">
        <v>413500</v>
      </c>
      <c r="C260" s="370" t="s">
        <v>254</v>
      </c>
      <c r="D260" s="208" t="s">
        <v>191</v>
      </c>
      <c r="E260" s="209" t="s">
        <v>192</v>
      </c>
      <c r="F260" s="211">
        <v>25990</v>
      </c>
    </row>
    <row r="261" spans="1:18" x14ac:dyDescent="0.25">
      <c r="A261" s="206">
        <v>4136</v>
      </c>
      <c r="B261" s="206">
        <v>413600</v>
      </c>
      <c r="C261" s="62" t="s">
        <v>255</v>
      </c>
      <c r="D261" s="193" t="s">
        <v>191</v>
      </c>
      <c r="E261" s="194" t="s">
        <v>256</v>
      </c>
      <c r="F261" s="197">
        <v>24990</v>
      </c>
    </row>
    <row r="262" spans="1:18" x14ac:dyDescent="0.25">
      <c r="A262" s="206">
        <v>4137</v>
      </c>
      <c r="B262" s="206">
        <v>413700</v>
      </c>
      <c r="C262" s="62" t="s">
        <v>257</v>
      </c>
      <c r="D262" s="193" t="s">
        <v>141</v>
      </c>
      <c r="E262" s="194" t="s">
        <v>199</v>
      </c>
      <c r="F262" s="197">
        <v>25990</v>
      </c>
    </row>
    <row r="263" spans="1:18" x14ac:dyDescent="0.25">
      <c r="A263" s="206">
        <v>4149</v>
      </c>
      <c r="B263" s="206">
        <v>414900</v>
      </c>
      <c r="C263" s="370" t="s">
        <v>258</v>
      </c>
      <c r="D263" s="208" t="s">
        <v>259</v>
      </c>
      <c r="E263" s="209" t="s">
        <v>260</v>
      </c>
      <c r="F263" s="211">
        <v>24990</v>
      </c>
    </row>
    <row r="264" spans="1:18" x14ac:dyDescent="0.25">
      <c r="A264" s="206">
        <v>4153</v>
      </c>
      <c r="B264" s="206">
        <v>415300</v>
      </c>
      <c r="C264" s="62" t="s">
        <v>261</v>
      </c>
      <c r="D264" s="193">
        <v>0</v>
      </c>
      <c r="E264" s="194">
        <v>0</v>
      </c>
      <c r="F264" s="197">
        <v>21990</v>
      </c>
    </row>
    <row r="265" spans="1:18" x14ac:dyDescent="0.25">
      <c r="A265" s="206" t="s">
        <v>262</v>
      </c>
      <c r="B265" s="206">
        <v>415500</v>
      </c>
      <c r="C265" s="370" t="s">
        <v>263</v>
      </c>
      <c r="D265" s="208" t="s">
        <v>191</v>
      </c>
      <c r="E265" s="209" t="s">
        <v>264</v>
      </c>
      <c r="F265" s="211">
        <v>25990</v>
      </c>
    </row>
    <row r="266" spans="1:18" x14ac:dyDescent="0.25">
      <c r="A266" s="206" t="s">
        <v>265</v>
      </c>
      <c r="B266" s="206">
        <v>415501</v>
      </c>
      <c r="C266" s="370" t="s">
        <v>266</v>
      </c>
      <c r="D266" s="208" t="s">
        <v>191</v>
      </c>
      <c r="E266" s="209" t="s">
        <v>264</v>
      </c>
      <c r="F266" s="211">
        <v>25990</v>
      </c>
    </row>
    <row r="267" spans="1:18" x14ac:dyDescent="0.25">
      <c r="A267" s="206">
        <v>4158</v>
      </c>
      <c r="B267" s="206">
        <v>415800</v>
      </c>
      <c r="C267" s="62" t="s">
        <v>267</v>
      </c>
      <c r="D267" s="193" t="s">
        <v>141</v>
      </c>
      <c r="E267" s="194" t="s">
        <v>186</v>
      </c>
      <c r="F267" s="197">
        <v>25990</v>
      </c>
    </row>
    <row r="268" spans="1:18" x14ac:dyDescent="0.25">
      <c r="A268" s="206">
        <v>4160</v>
      </c>
      <c r="B268" s="206">
        <v>416000</v>
      </c>
      <c r="C268" s="370" t="s">
        <v>268</v>
      </c>
      <c r="D268" s="208" t="s">
        <v>141</v>
      </c>
      <c r="E268" s="209" t="s">
        <v>183</v>
      </c>
      <c r="F268" s="211">
        <v>26990</v>
      </c>
    </row>
    <row r="269" spans="1:18" x14ac:dyDescent="0.25">
      <c r="A269" s="206">
        <v>4165</v>
      </c>
      <c r="B269" s="206">
        <v>416500</v>
      </c>
      <c r="C269" s="62" t="s">
        <v>269</v>
      </c>
      <c r="D269" s="193" t="s">
        <v>241</v>
      </c>
      <c r="E269" s="194" t="s">
        <v>199</v>
      </c>
      <c r="F269" s="197">
        <v>24990</v>
      </c>
    </row>
    <row r="270" spans="1:18" x14ac:dyDescent="0.25">
      <c r="A270" s="206">
        <v>4166</v>
      </c>
      <c r="B270" s="206">
        <v>416600</v>
      </c>
      <c r="C270" s="62" t="s">
        <v>270</v>
      </c>
      <c r="D270" s="193" t="s">
        <v>141</v>
      </c>
      <c r="E270" s="194" t="s">
        <v>199</v>
      </c>
      <c r="F270" s="197">
        <v>24990</v>
      </c>
    </row>
    <row r="271" spans="1:18" x14ac:dyDescent="0.25">
      <c r="A271" s="206">
        <v>4166</v>
      </c>
      <c r="B271" s="206">
        <v>416600</v>
      </c>
      <c r="C271" s="370" t="s">
        <v>271</v>
      </c>
      <c r="D271" s="208" t="s">
        <v>141</v>
      </c>
      <c r="E271" s="209" t="s">
        <v>192</v>
      </c>
      <c r="F271" s="213">
        <v>24990</v>
      </c>
      <c r="K271" s="201"/>
      <c r="L271" s="201"/>
      <c r="M271" s="201"/>
      <c r="N271" s="201"/>
      <c r="O271" s="201"/>
      <c r="P271" s="201"/>
      <c r="Q271" s="199"/>
      <c r="R271" s="199"/>
    </row>
    <row r="272" spans="1:18" ht="16.5" customHeight="1" thickBot="1" x14ac:dyDescent="0.3">
      <c r="A272" s="204">
        <v>4168</v>
      </c>
      <c r="B272" s="204">
        <v>416800</v>
      </c>
      <c r="C272" s="371" t="s">
        <v>272</v>
      </c>
      <c r="D272" s="207" t="s">
        <v>141</v>
      </c>
      <c r="E272" s="210" t="s">
        <v>192</v>
      </c>
      <c r="F272" s="212">
        <v>24990</v>
      </c>
      <c r="K272" s="201"/>
      <c r="L272" s="202"/>
      <c r="M272" s="203"/>
      <c r="N272" s="203"/>
      <c r="O272" s="203"/>
      <c r="P272" s="203"/>
      <c r="Q272" s="199"/>
      <c r="R272" s="199"/>
    </row>
    <row r="273" spans="1:18" ht="16.5" customHeight="1" thickBot="1" x14ac:dyDescent="0.3">
      <c r="A273" s="204">
        <v>4168</v>
      </c>
      <c r="B273" s="204">
        <v>416800</v>
      </c>
      <c r="C273" s="372"/>
      <c r="D273" s="200"/>
      <c r="E273" s="205" t="s">
        <v>192</v>
      </c>
      <c r="F273" s="29">
        <v>24990</v>
      </c>
      <c r="K273" s="201"/>
      <c r="L273" s="202"/>
      <c r="M273" s="203"/>
      <c r="N273" s="203"/>
      <c r="O273" s="203"/>
      <c r="P273" s="203"/>
      <c r="Q273" s="199"/>
      <c r="R273" s="199"/>
    </row>
    <row r="274" spans="1:18" ht="16.5" customHeight="1" thickBot="1" x14ac:dyDescent="0.3">
      <c r="A274" s="204">
        <v>4176</v>
      </c>
      <c r="B274" s="204">
        <v>417600</v>
      </c>
      <c r="C274" s="371" t="s">
        <v>252</v>
      </c>
      <c r="D274" s="207" t="s">
        <v>141</v>
      </c>
      <c r="E274" s="210" t="s">
        <v>264</v>
      </c>
      <c r="F274" s="212">
        <v>24990</v>
      </c>
      <c r="K274" s="201"/>
      <c r="L274" s="202"/>
      <c r="M274" s="203"/>
      <c r="N274" s="203"/>
      <c r="O274" s="203"/>
      <c r="P274" s="203"/>
      <c r="Q274" s="199"/>
      <c r="R274" s="199"/>
    </row>
    <row r="275" spans="1:18" ht="16.5" customHeight="1" thickBot="1" x14ac:dyDescent="0.3">
      <c r="A275" s="204">
        <v>4176</v>
      </c>
      <c r="B275" s="204">
        <v>417600</v>
      </c>
      <c r="C275" s="372" t="s">
        <v>273</v>
      </c>
      <c r="D275" s="200" t="s">
        <v>141</v>
      </c>
      <c r="E275" s="205" t="s">
        <v>264</v>
      </c>
      <c r="F275" s="29">
        <v>24990</v>
      </c>
      <c r="K275" s="201"/>
      <c r="L275" s="202"/>
      <c r="M275" s="203"/>
      <c r="N275" s="203"/>
      <c r="O275" s="203"/>
      <c r="P275" s="203"/>
      <c r="Q275" s="199"/>
      <c r="R275" s="199"/>
    </row>
    <row r="276" spans="1:18" ht="16.5" customHeight="1" thickBot="1" x14ac:dyDescent="0.3">
      <c r="A276" s="204">
        <v>4177</v>
      </c>
      <c r="B276" s="204">
        <v>417700</v>
      </c>
      <c r="C276" s="372" t="s">
        <v>201</v>
      </c>
      <c r="D276" s="200" t="s">
        <v>141</v>
      </c>
      <c r="E276" s="205" t="s">
        <v>105</v>
      </c>
      <c r="F276" s="29">
        <v>25990</v>
      </c>
      <c r="K276" s="201"/>
      <c r="L276" s="202"/>
      <c r="M276" s="203"/>
      <c r="N276" s="203"/>
      <c r="O276" s="203"/>
      <c r="P276" s="203"/>
      <c r="Q276" s="199"/>
      <c r="R276" s="199"/>
    </row>
    <row r="277" spans="1:18" ht="16.5" customHeight="1" thickBot="1" x14ac:dyDescent="0.3">
      <c r="A277" s="204">
        <v>4178</v>
      </c>
      <c r="B277" s="204">
        <v>417800</v>
      </c>
      <c r="C277" s="372" t="s">
        <v>274</v>
      </c>
      <c r="D277" s="200" t="s">
        <v>141</v>
      </c>
      <c r="E277" s="205" t="s">
        <v>264</v>
      </c>
      <c r="F277" s="29">
        <v>24990</v>
      </c>
      <c r="K277" s="201"/>
      <c r="L277" s="202"/>
      <c r="M277" s="203"/>
      <c r="N277" s="203"/>
      <c r="O277" s="203"/>
      <c r="P277" s="203"/>
      <c r="Q277" s="199"/>
      <c r="R277" s="199"/>
    </row>
    <row r="278" spans="1:18" ht="16.5" customHeight="1" thickBot="1" x14ac:dyDescent="0.3">
      <c r="A278" s="204">
        <v>4179</v>
      </c>
      <c r="B278" s="204">
        <v>417900</v>
      </c>
      <c r="C278" s="372" t="s">
        <v>275</v>
      </c>
      <c r="D278" s="200" t="s">
        <v>275</v>
      </c>
      <c r="E278" s="205"/>
      <c r="F278" s="29">
        <v>21990</v>
      </c>
      <c r="K278" s="201"/>
      <c r="L278" s="202"/>
      <c r="M278" s="203"/>
      <c r="N278" s="203"/>
      <c r="O278" s="203"/>
      <c r="P278" s="203"/>
      <c r="Q278" s="199"/>
      <c r="R278" s="199"/>
    </row>
    <row r="279" spans="1:18" ht="16.5" customHeight="1" thickBot="1" x14ac:dyDescent="0.3">
      <c r="A279" s="204">
        <v>4183</v>
      </c>
      <c r="B279" s="204">
        <v>418300</v>
      </c>
      <c r="C279" s="371" t="s">
        <v>276</v>
      </c>
      <c r="D279" s="207" t="s">
        <v>277</v>
      </c>
      <c r="E279" s="210">
        <v>0</v>
      </c>
      <c r="F279" s="212">
        <v>21990</v>
      </c>
      <c r="K279" s="201"/>
      <c r="L279" s="202"/>
      <c r="M279" s="203"/>
      <c r="N279" s="203"/>
      <c r="O279" s="203"/>
      <c r="P279" s="203"/>
      <c r="Q279" s="199"/>
      <c r="R279" s="199"/>
    </row>
    <row r="280" spans="1:18" ht="16.5" customHeight="1" thickBot="1" x14ac:dyDescent="0.3">
      <c r="A280" s="251">
        <v>4185</v>
      </c>
      <c r="B280" s="251">
        <v>418500</v>
      </c>
      <c r="C280" s="373" t="s">
        <v>278</v>
      </c>
      <c r="D280" s="252" t="s">
        <v>141</v>
      </c>
      <c r="E280" s="253" t="s">
        <v>105</v>
      </c>
      <c r="F280" s="254">
        <v>25990</v>
      </c>
      <c r="K280" s="201"/>
      <c r="L280" s="202"/>
      <c r="M280" s="203"/>
      <c r="N280" s="203"/>
      <c r="O280" s="203"/>
      <c r="P280" s="203"/>
      <c r="Q280" s="199"/>
      <c r="R280" s="199"/>
    </row>
    <row r="281" spans="1:18" ht="16.5" customHeight="1" thickBot="1" x14ac:dyDescent="0.35">
      <c r="A281" s="246"/>
      <c r="B281" s="246"/>
      <c r="C281" s="259" t="s">
        <v>279</v>
      </c>
      <c r="D281" s="247"/>
      <c r="E281" s="248"/>
      <c r="F281" s="29"/>
      <c r="K281" s="201"/>
      <c r="L281" s="202"/>
      <c r="M281" s="203"/>
      <c r="N281" s="203"/>
      <c r="O281" s="203"/>
      <c r="P281" s="203"/>
      <c r="Q281" s="199"/>
      <c r="R281" s="199"/>
    </row>
    <row r="282" spans="1:18" ht="16.5" customHeight="1" thickBot="1" x14ac:dyDescent="0.3">
      <c r="A282" s="260" t="s">
        <v>280</v>
      </c>
      <c r="B282" s="260">
        <v>420101</v>
      </c>
      <c r="C282" s="258" t="s">
        <v>281</v>
      </c>
      <c r="D282" s="258" t="s">
        <v>141</v>
      </c>
      <c r="E282" s="258" t="s">
        <v>199</v>
      </c>
      <c r="F282" s="263">
        <v>24990</v>
      </c>
      <c r="K282" s="201"/>
      <c r="L282" s="202"/>
      <c r="M282" s="203"/>
      <c r="N282" s="203"/>
      <c r="O282" s="203"/>
      <c r="P282" s="203"/>
      <c r="Q282" s="199"/>
      <c r="R282" s="199"/>
    </row>
    <row r="283" spans="1:18" ht="16.5" customHeight="1" thickBot="1" x14ac:dyDescent="0.3">
      <c r="A283" s="261" t="s">
        <v>282</v>
      </c>
      <c r="B283" s="261">
        <v>420160</v>
      </c>
      <c r="C283" s="258" t="s">
        <v>283</v>
      </c>
      <c r="D283" s="262" t="s">
        <v>141</v>
      </c>
      <c r="E283" s="262" t="s">
        <v>199</v>
      </c>
      <c r="F283" s="264">
        <v>26990</v>
      </c>
      <c r="K283" s="201"/>
      <c r="L283" s="202"/>
      <c r="M283" s="203"/>
      <c r="N283" s="203"/>
      <c r="O283" s="203"/>
      <c r="P283" s="203"/>
      <c r="Q283" s="199"/>
      <c r="R283" s="199"/>
    </row>
    <row r="284" spans="1:18" ht="16.5" customHeight="1" thickBot="1" x14ac:dyDescent="0.3">
      <c r="A284" s="261" t="s">
        <v>284</v>
      </c>
      <c r="B284" s="261">
        <v>420100</v>
      </c>
      <c r="C284" s="258" t="s">
        <v>285</v>
      </c>
      <c r="D284" s="262" t="s">
        <v>141</v>
      </c>
      <c r="E284" s="262" t="s">
        <v>199</v>
      </c>
      <c r="F284" s="264">
        <v>24990</v>
      </c>
      <c r="K284" s="201"/>
      <c r="L284" s="202"/>
      <c r="M284" s="203"/>
      <c r="N284" s="203"/>
      <c r="O284" s="203"/>
      <c r="P284" s="203"/>
      <c r="Q284" s="199"/>
      <c r="R284" s="199"/>
    </row>
    <row r="285" spans="1:18" ht="16.5" customHeight="1" thickBot="1" x14ac:dyDescent="0.3">
      <c r="A285" s="261" t="s">
        <v>286</v>
      </c>
      <c r="B285" s="261">
        <v>420200</v>
      </c>
      <c r="C285" s="258" t="s">
        <v>287</v>
      </c>
      <c r="D285" s="262" t="s">
        <v>141</v>
      </c>
      <c r="E285" s="262" t="s">
        <v>264</v>
      </c>
      <c r="F285" s="264">
        <v>25990</v>
      </c>
      <c r="K285" s="201"/>
      <c r="L285" s="202"/>
      <c r="M285" s="203"/>
      <c r="N285" s="203"/>
      <c r="O285" s="203"/>
      <c r="P285" s="203"/>
      <c r="Q285" s="199"/>
      <c r="R285" s="199"/>
    </row>
    <row r="286" spans="1:18" ht="16.5" customHeight="1" thickBot="1" x14ac:dyDescent="0.3">
      <c r="A286" s="261" t="s">
        <v>288</v>
      </c>
      <c r="B286" s="261">
        <v>420300</v>
      </c>
      <c r="C286" s="258" t="s">
        <v>289</v>
      </c>
      <c r="D286" s="262" t="s">
        <v>191</v>
      </c>
      <c r="E286" s="262" t="s">
        <v>192</v>
      </c>
      <c r="F286" s="264">
        <v>24990</v>
      </c>
      <c r="K286" s="201"/>
      <c r="L286" s="202"/>
      <c r="M286" s="203"/>
      <c r="N286" s="203"/>
      <c r="O286" s="203"/>
      <c r="P286" s="203"/>
      <c r="Q286" s="199"/>
      <c r="R286" s="199"/>
    </row>
    <row r="287" spans="1:18" ht="16.5" customHeight="1" thickBot="1" x14ac:dyDescent="0.3">
      <c r="A287" s="261" t="s">
        <v>290</v>
      </c>
      <c r="B287" s="261">
        <v>420301</v>
      </c>
      <c r="C287" s="258" t="s">
        <v>291</v>
      </c>
      <c r="D287" s="262" t="s">
        <v>191</v>
      </c>
      <c r="E287" s="262" t="s">
        <v>192</v>
      </c>
      <c r="F287" s="264">
        <v>24990</v>
      </c>
      <c r="K287" s="201"/>
      <c r="L287" s="202"/>
      <c r="M287" s="203"/>
      <c r="N287" s="203"/>
      <c r="O287" s="203"/>
      <c r="P287" s="203"/>
      <c r="Q287" s="199"/>
      <c r="R287" s="199"/>
    </row>
    <row r="288" spans="1:18" ht="16.5" customHeight="1" thickBot="1" x14ac:dyDescent="0.3">
      <c r="A288" s="261" t="s">
        <v>292</v>
      </c>
      <c r="B288" s="261">
        <v>420400</v>
      </c>
      <c r="C288" s="258" t="s">
        <v>293</v>
      </c>
      <c r="D288" s="262" t="s">
        <v>294</v>
      </c>
      <c r="E288" s="262" t="s">
        <v>105</v>
      </c>
      <c r="F288" s="264">
        <v>25990</v>
      </c>
      <c r="K288" s="201"/>
      <c r="L288" s="202"/>
      <c r="M288" s="203"/>
      <c r="N288" s="203"/>
      <c r="O288" s="203"/>
      <c r="P288" s="203"/>
      <c r="Q288" s="199"/>
      <c r="R288" s="199"/>
    </row>
    <row r="289" spans="1:18" ht="16.5" customHeight="1" thickBot="1" x14ac:dyDescent="0.3">
      <c r="A289" s="261" t="s">
        <v>295</v>
      </c>
      <c r="B289" s="261">
        <v>420401</v>
      </c>
      <c r="C289" s="258" t="s">
        <v>296</v>
      </c>
      <c r="D289" s="262" t="s">
        <v>294</v>
      </c>
      <c r="E289" s="262" t="s">
        <v>105</v>
      </c>
      <c r="F289" s="264">
        <v>25990</v>
      </c>
      <c r="K289" s="201"/>
      <c r="L289" s="202"/>
      <c r="M289" s="203"/>
      <c r="N289" s="203"/>
      <c r="O289" s="203"/>
      <c r="P289" s="203"/>
      <c r="Q289" s="199"/>
      <c r="R289" s="199"/>
    </row>
    <row r="290" spans="1:18" ht="16.5" customHeight="1" thickBot="1" x14ac:dyDescent="0.3">
      <c r="A290" s="261" t="s">
        <v>297</v>
      </c>
      <c r="B290" s="261">
        <v>420402</v>
      </c>
      <c r="C290" s="258" t="s">
        <v>298</v>
      </c>
      <c r="D290" s="262" t="s">
        <v>294</v>
      </c>
      <c r="E290" s="262" t="s">
        <v>105</v>
      </c>
      <c r="F290" s="264">
        <v>25990</v>
      </c>
      <c r="K290" s="201"/>
      <c r="L290" s="202"/>
      <c r="M290" s="203"/>
      <c r="N290" s="203"/>
      <c r="O290" s="203"/>
      <c r="P290" s="203"/>
      <c r="Q290" s="199"/>
      <c r="R290" s="199"/>
    </row>
    <row r="291" spans="1:18" ht="16.5" customHeight="1" thickBot="1" x14ac:dyDescent="0.3">
      <c r="A291" s="261" t="s">
        <v>299</v>
      </c>
      <c r="B291" s="261">
        <v>420500</v>
      </c>
      <c r="C291" s="258" t="s">
        <v>300</v>
      </c>
      <c r="D291" s="262" t="s">
        <v>191</v>
      </c>
      <c r="E291" s="262" t="s">
        <v>186</v>
      </c>
      <c r="F291" s="264">
        <v>25990</v>
      </c>
      <c r="K291" s="201"/>
      <c r="L291" s="202"/>
      <c r="M291" s="203"/>
      <c r="N291" s="203"/>
      <c r="O291" s="203"/>
      <c r="P291" s="203"/>
      <c r="Q291" s="199"/>
      <c r="R291" s="199"/>
    </row>
    <row r="292" spans="1:18" ht="16.5" customHeight="1" thickBot="1" x14ac:dyDescent="0.3">
      <c r="A292" s="261" t="s">
        <v>301</v>
      </c>
      <c r="B292" s="261">
        <v>420501</v>
      </c>
      <c r="C292" s="258" t="s">
        <v>302</v>
      </c>
      <c r="D292" s="262" t="s">
        <v>191</v>
      </c>
      <c r="E292" s="262" t="s">
        <v>186</v>
      </c>
      <c r="F292" s="264">
        <v>25990</v>
      </c>
      <c r="K292" s="201"/>
      <c r="L292" s="202"/>
      <c r="M292" s="203"/>
      <c r="N292" s="203"/>
      <c r="O292" s="203"/>
      <c r="P292" s="203"/>
      <c r="Q292" s="199"/>
      <c r="R292" s="199"/>
    </row>
    <row r="293" spans="1:18" ht="16.5" customHeight="1" thickBot="1" x14ac:dyDescent="0.3">
      <c r="A293" s="261" t="s">
        <v>303</v>
      </c>
      <c r="B293" s="261">
        <v>420600</v>
      </c>
      <c r="C293" s="258" t="s">
        <v>304</v>
      </c>
      <c r="D293" s="262" t="s">
        <v>141</v>
      </c>
      <c r="E293" s="262" t="s">
        <v>199</v>
      </c>
      <c r="F293" s="264">
        <v>24990</v>
      </c>
      <c r="K293" s="201"/>
      <c r="L293" s="202"/>
      <c r="M293" s="203"/>
      <c r="N293" s="203"/>
      <c r="O293" s="203"/>
      <c r="P293" s="203"/>
      <c r="Q293" s="199"/>
      <c r="R293" s="199"/>
    </row>
    <row r="294" spans="1:18" ht="16.5" customHeight="1" thickBot="1" x14ac:dyDescent="0.3">
      <c r="A294" s="261" t="s">
        <v>305</v>
      </c>
      <c r="B294" s="261">
        <v>420800</v>
      </c>
      <c r="C294" s="258" t="s">
        <v>306</v>
      </c>
      <c r="D294" s="262" t="s">
        <v>141</v>
      </c>
      <c r="E294" s="262" t="s">
        <v>105</v>
      </c>
      <c r="F294" s="264">
        <v>25990</v>
      </c>
      <c r="K294" s="201"/>
      <c r="L294" s="202"/>
      <c r="M294" s="203"/>
      <c r="N294" s="203"/>
      <c r="O294" s="203"/>
      <c r="P294" s="203"/>
      <c r="Q294" s="199"/>
      <c r="R294" s="199"/>
    </row>
    <row r="295" spans="1:18" ht="16.5" customHeight="1" thickBot="1" x14ac:dyDescent="0.3">
      <c r="A295" s="261" t="s">
        <v>307</v>
      </c>
      <c r="B295" s="261">
        <v>420801</v>
      </c>
      <c r="C295" s="258" t="s">
        <v>308</v>
      </c>
      <c r="D295" s="262" t="s">
        <v>141</v>
      </c>
      <c r="E295" s="262" t="s">
        <v>105</v>
      </c>
      <c r="F295" s="264">
        <v>25990</v>
      </c>
      <c r="K295" s="201"/>
      <c r="L295" s="202"/>
      <c r="M295" s="203"/>
      <c r="N295" s="203"/>
      <c r="O295" s="203"/>
      <c r="P295" s="203"/>
      <c r="Q295" s="199"/>
      <c r="R295" s="199"/>
    </row>
    <row r="296" spans="1:18" ht="16.5" customHeight="1" thickBot="1" x14ac:dyDescent="0.3">
      <c r="A296" s="261" t="s">
        <v>309</v>
      </c>
      <c r="B296" s="261">
        <v>420802</v>
      </c>
      <c r="C296" s="258" t="s">
        <v>310</v>
      </c>
      <c r="D296" s="262" t="s">
        <v>141</v>
      </c>
      <c r="E296" s="262" t="s">
        <v>105</v>
      </c>
      <c r="F296" s="264">
        <v>25990</v>
      </c>
      <c r="K296" s="201"/>
      <c r="L296" s="202"/>
      <c r="M296" s="203"/>
      <c r="N296" s="203"/>
      <c r="O296" s="203"/>
      <c r="P296" s="203"/>
      <c r="Q296" s="199"/>
      <c r="R296" s="199"/>
    </row>
    <row r="297" spans="1:18" ht="16.5" customHeight="1" thickBot="1" x14ac:dyDescent="0.3">
      <c r="A297" s="261" t="s">
        <v>311</v>
      </c>
      <c r="B297" s="261">
        <v>420900</v>
      </c>
      <c r="C297" s="258" t="s">
        <v>312</v>
      </c>
      <c r="D297" s="262" t="s">
        <v>191</v>
      </c>
      <c r="E297" s="262" t="s">
        <v>199</v>
      </c>
      <c r="F297" s="264">
        <v>24990</v>
      </c>
      <c r="K297" s="201"/>
      <c r="L297" s="202"/>
      <c r="M297" s="203"/>
      <c r="N297" s="203"/>
      <c r="O297" s="203"/>
      <c r="P297" s="203"/>
      <c r="Q297" s="199"/>
      <c r="R297" s="199"/>
    </row>
    <row r="298" spans="1:18" ht="16.5" customHeight="1" thickBot="1" x14ac:dyDescent="0.3">
      <c r="A298" s="261" t="s">
        <v>313</v>
      </c>
      <c r="B298" s="261">
        <v>421000</v>
      </c>
      <c r="C298" s="258" t="s">
        <v>314</v>
      </c>
      <c r="D298" s="262" t="s">
        <v>191</v>
      </c>
      <c r="E298" s="262" t="s">
        <v>186</v>
      </c>
      <c r="F298" s="264">
        <v>25990</v>
      </c>
      <c r="K298" s="201"/>
      <c r="L298" s="202"/>
      <c r="M298" s="203"/>
      <c r="N298" s="203"/>
      <c r="O298" s="203"/>
      <c r="P298" s="203"/>
      <c r="Q298" s="199"/>
      <c r="R298" s="199"/>
    </row>
    <row r="299" spans="1:18" ht="16.5" customHeight="1" thickBot="1" x14ac:dyDescent="0.3">
      <c r="A299" s="261" t="s">
        <v>315</v>
      </c>
      <c r="B299" s="261">
        <v>421001</v>
      </c>
      <c r="C299" s="258" t="s">
        <v>316</v>
      </c>
      <c r="D299" s="262" t="s">
        <v>191</v>
      </c>
      <c r="E299" s="262" t="s">
        <v>186</v>
      </c>
      <c r="F299" s="264">
        <v>25990</v>
      </c>
      <c r="K299" s="201"/>
      <c r="L299" s="202"/>
      <c r="M299" s="203"/>
      <c r="N299" s="203"/>
      <c r="O299" s="203"/>
      <c r="P299" s="203"/>
      <c r="Q299" s="199"/>
      <c r="R299" s="199"/>
    </row>
    <row r="300" spans="1:18" ht="16.5" customHeight="1" thickBot="1" x14ac:dyDescent="0.3">
      <c r="A300" s="261" t="s">
        <v>317</v>
      </c>
      <c r="B300" s="261">
        <v>421100</v>
      </c>
      <c r="C300" s="258" t="s">
        <v>318</v>
      </c>
      <c r="D300" s="262" t="s">
        <v>141</v>
      </c>
      <c r="E300" s="262" t="s">
        <v>105</v>
      </c>
      <c r="F300" s="264">
        <v>25990</v>
      </c>
      <c r="K300" s="201"/>
      <c r="L300" s="202"/>
      <c r="M300" s="203"/>
      <c r="N300" s="203"/>
      <c r="O300" s="203"/>
      <c r="P300" s="203"/>
      <c r="Q300" s="199"/>
      <c r="R300" s="199"/>
    </row>
    <row r="301" spans="1:18" ht="16.5" customHeight="1" thickBot="1" x14ac:dyDescent="0.3">
      <c r="A301" s="261" t="s">
        <v>319</v>
      </c>
      <c r="B301" s="261">
        <v>421101</v>
      </c>
      <c r="C301" s="258" t="s">
        <v>320</v>
      </c>
      <c r="D301" s="262" t="s">
        <v>141</v>
      </c>
      <c r="E301" s="262" t="s">
        <v>105</v>
      </c>
      <c r="F301" s="264">
        <v>25990</v>
      </c>
      <c r="K301" s="201"/>
      <c r="L301" s="202"/>
      <c r="M301" s="203"/>
      <c r="N301" s="203"/>
      <c r="O301" s="203"/>
      <c r="P301" s="203"/>
      <c r="Q301" s="199"/>
      <c r="R301" s="199"/>
    </row>
    <row r="302" spans="1:18" ht="15.75" customHeight="1" thickBot="1" x14ac:dyDescent="0.3">
      <c r="A302" s="261" t="s">
        <v>321</v>
      </c>
      <c r="B302" s="261">
        <v>421300</v>
      </c>
      <c r="C302" s="258" t="s">
        <v>322</v>
      </c>
      <c r="D302" s="262" t="s">
        <v>141</v>
      </c>
      <c r="E302" s="262" t="s">
        <v>186</v>
      </c>
      <c r="F302" s="264">
        <v>25990</v>
      </c>
      <c r="K302" s="201"/>
      <c r="L302" s="202"/>
      <c r="M302" s="203"/>
      <c r="N302" s="203"/>
      <c r="O302" s="203"/>
      <c r="P302" s="203"/>
      <c r="Q302" s="198"/>
      <c r="R302" s="198"/>
    </row>
    <row r="303" spans="1:18" ht="15.75" customHeight="1" thickBot="1" x14ac:dyDescent="0.3">
      <c r="A303" s="261" t="s">
        <v>323</v>
      </c>
      <c r="B303" s="261">
        <v>421301</v>
      </c>
      <c r="C303" s="258" t="s">
        <v>324</v>
      </c>
      <c r="D303" s="262" t="s">
        <v>138</v>
      </c>
      <c r="E303" s="262" t="s">
        <v>186</v>
      </c>
      <c r="F303" s="264">
        <v>25990</v>
      </c>
    </row>
    <row r="304" spans="1:18" ht="15.75" customHeight="1" thickBot="1" x14ac:dyDescent="0.3">
      <c r="A304" s="261" t="s">
        <v>325</v>
      </c>
      <c r="B304" s="261">
        <v>421400</v>
      </c>
      <c r="C304" s="258" t="s">
        <v>326</v>
      </c>
      <c r="D304" s="262" t="s">
        <v>138</v>
      </c>
      <c r="E304" s="262" t="s">
        <v>186</v>
      </c>
      <c r="F304" s="264">
        <v>25990</v>
      </c>
    </row>
    <row r="305" spans="1:6" ht="15.75" customHeight="1" thickBot="1" x14ac:dyDescent="0.3">
      <c r="A305" s="261" t="s">
        <v>327</v>
      </c>
      <c r="B305" s="261">
        <v>421401</v>
      </c>
      <c r="C305" s="258" t="s">
        <v>328</v>
      </c>
      <c r="D305" s="262" t="s">
        <v>138</v>
      </c>
      <c r="E305" s="262" t="s">
        <v>186</v>
      </c>
      <c r="F305" s="264">
        <v>25990</v>
      </c>
    </row>
    <row r="306" spans="1:6" ht="15.75" customHeight="1" thickBot="1" x14ac:dyDescent="0.3">
      <c r="A306" s="261" t="s">
        <v>329</v>
      </c>
      <c r="B306" s="261">
        <v>421460</v>
      </c>
      <c r="C306" s="258" t="s">
        <v>330</v>
      </c>
      <c r="D306" s="262" t="s">
        <v>138</v>
      </c>
      <c r="E306" s="262" t="s">
        <v>186</v>
      </c>
      <c r="F306" s="264">
        <v>27990</v>
      </c>
    </row>
    <row r="307" spans="1:6" ht="15.75" customHeight="1" thickBot="1" x14ac:dyDescent="0.3">
      <c r="A307" s="261" t="s">
        <v>331</v>
      </c>
      <c r="B307" s="261">
        <v>421402</v>
      </c>
      <c r="C307" s="258" t="s">
        <v>332</v>
      </c>
      <c r="D307" s="262" t="s">
        <v>138</v>
      </c>
      <c r="E307" s="262" t="s">
        <v>186</v>
      </c>
      <c r="F307" s="264">
        <v>25990</v>
      </c>
    </row>
    <row r="308" spans="1:6" ht="15.75" customHeight="1" thickBot="1" x14ac:dyDescent="0.3">
      <c r="A308" s="261" t="s">
        <v>333</v>
      </c>
      <c r="B308" s="261">
        <v>421600</v>
      </c>
      <c r="C308" s="258" t="s">
        <v>334</v>
      </c>
      <c r="D308" s="262" t="s">
        <v>141</v>
      </c>
      <c r="E308" s="262" t="s">
        <v>199</v>
      </c>
      <c r="F308" s="264">
        <v>24990</v>
      </c>
    </row>
    <row r="309" spans="1:6" ht="15.75" customHeight="1" thickBot="1" x14ac:dyDescent="0.3">
      <c r="A309" s="261" t="s">
        <v>335</v>
      </c>
      <c r="B309" s="261">
        <v>421700</v>
      </c>
      <c r="C309" s="258" t="s">
        <v>336</v>
      </c>
      <c r="D309" s="262" t="s">
        <v>138</v>
      </c>
      <c r="E309" s="262" t="s">
        <v>105</v>
      </c>
      <c r="F309" s="264">
        <v>25990</v>
      </c>
    </row>
    <row r="310" spans="1:6" ht="15.75" customHeight="1" thickBot="1" x14ac:dyDescent="0.3">
      <c r="A310" s="261" t="s">
        <v>337</v>
      </c>
      <c r="B310" s="261">
        <v>421800</v>
      </c>
      <c r="C310" s="258" t="s">
        <v>338</v>
      </c>
      <c r="D310" s="262" t="s">
        <v>141</v>
      </c>
      <c r="E310" s="262" t="s">
        <v>105</v>
      </c>
      <c r="F310" s="264">
        <v>25990</v>
      </c>
    </row>
    <row r="311" spans="1:6" ht="16.5" customHeight="1" thickBot="1" x14ac:dyDescent="0.3">
      <c r="A311" s="261" t="s">
        <v>339</v>
      </c>
      <c r="B311" s="261">
        <v>421801</v>
      </c>
      <c r="C311" s="258" t="s">
        <v>340</v>
      </c>
      <c r="D311" s="262" t="s">
        <v>141</v>
      </c>
      <c r="E311" s="262" t="s">
        <v>105</v>
      </c>
      <c r="F311" s="264">
        <v>25990</v>
      </c>
    </row>
    <row r="312" spans="1:6" ht="15.75" customHeight="1" thickBot="1" x14ac:dyDescent="0.3">
      <c r="A312" s="261" t="s">
        <v>341</v>
      </c>
      <c r="B312" s="261">
        <v>421900</v>
      </c>
      <c r="C312" s="258" t="s">
        <v>342</v>
      </c>
      <c r="D312" s="262" t="s">
        <v>141</v>
      </c>
      <c r="E312" s="262" t="s">
        <v>199</v>
      </c>
      <c r="F312" s="264">
        <v>24990</v>
      </c>
    </row>
    <row r="313" spans="1:6" ht="15.75" customHeight="1" thickBot="1" x14ac:dyDescent="0.3">
      <c r="A313" s="261" t="s">
        <v>343</v>
      </c>
      <c r="B313" s="261">
        <v>421901</v>
      </c>
      <c r="C313" s="258" t="s">
        <v>342</v>
      </c>
      <c r="D313" s="262" t="s">
        <v>141</v>
      </c>
      <c r="E313" s="262" t="s">
        <v>199</v>
      </c>
      <c r="F313" s="264">
        <v>24990</v>
      </c>
    </row>
    <row r="314" spans="1:6" ht="15.75" customHeight="1" thickBot="1" x14ac:dyDescent="0.3">
      <c r="A314" s="261" t="s">
        <v>344</v>
      </c>
      <c r="B314" s="261">
        <v>421902</v>
      </c>
      <c r="C314" s="258" t="s">
        <v>345</v>
      </c>
      <c r="D314" s="262" t="s">
        <v>141</v>
      </c>
      <c r="E314" s="262" t="s">
        <v>199</v>
      </c>
      <c r="F314" s="264">
        <v>24990</v>
      </c>
    </row>
    <row r="315" spans="1:6" ht="15.75" customHeight="1" thickBot="1" x14ac:dyDescent="0.3">
      <c r="A315" s="261" t="s">
        <v>346</v>
      </c>
      <c r="B315" s="261">
        <v>422000</v>
      </c>
      <c r="C315" s="258" t="s">
        <v>347</v>
      </c>
      <c r="D315" s="262" t="s">
        <v>141</v>
      </c>
      <c r="E315" s="262" t="s">
        <v>199</v>
      </c>
      <c r="F315" s="264">
        <v>24990</v>
      </c>
    </row>
    <row r="316" spans="1:6" ht="15.75" customHeight="1" thickBot="1" x14ac:dyDescent="0.3">
      <c r="A316" s="261" t="s">
        <v>348</v>
      </c>
      <c r="B316" s="261">
        <v>422100</v>
      </c>
      <c r="C316" s="258" t="s">
        <v>349</v>
      </c>
      <c r="D316" s="262" t="s">
        <v>141</v>
      </c>
      <c r="E316" s="262" t="s">
        <v>192</v>
      </c>
      <c r="F316" s="264">
        <v>24990</v>
      </c>
    </row>
    <row r="317" spans="1:6" ht="15.75" customHeight="1" thickBot="1" x14ac:dyDescent="0.3">
      <c r="A317" s="261" t="s">
        <v>350</v>
      </c>
      <c r="B317" s="261">
        <v>422101</v>
      </c>
      <c r="C317" s="258" t="s">
        <v>351</v>
      </c>
      <c r="D317" s="262" t="s">
        <v>141</v>
      </c>
      <c r="E317" s="262" t="s">
        <v>192</v>
      </c>
      <c r="F317" s="264">
        <v>24990</v>
      </c>
    </row>
    <row r="318" spans="1:6" ht="15.75" customHeight="1" thickBot="1" x14ac:dyDescent="0.3">
      <c r="A318" s="261" t="s">
        <v>352</v>
      </c>
      <c r="B318" s="261">
        <v>422190</v>
      </c>
      <c r="C318" s="258" t="s">
        <v>353</v>
      </c>
      <c r="D318" s="262" t="s">
        <v>141</v>
      </c>
      <c r="E318" s="262" t="s">
        <v>192</v>
      </c>
      <c r="F318" s="264">
        <v>27990</v>
      </c>
    </row>
    <row r="319" spans="1:6" ht="15.75" customHeight="1" thickBot="1" x14ac:dyDescent="0.3">
      <c r="A319" s="261" t="s">
        <v>354</v>
      </c>
      <c r="B319" s="261">
        <v>422200</v>
      </c>
      <c r="C319" s="258" t="s">
        <v>355</v>
      </c>
      <c r="D319" s="262" t="s">
        <v>241</v>
      </c>
      <c r="E319" s="262" t="s">
        <v>199</v>
      </c>
      <c r="F319" s="264">
        <v>24990</v>
      </c>
    </row>
    <row r="320" spans="1:6" ht="15.75" customHeight="1" thickBot="1" x14ac:dyDescent="0.3">
      <c r="A320" s="261">
        <v>4223</v>
      </c>
      <c r="B320" s="261">
        <v>422300</v>
      </c>
      <c r="C320" s="258" t="s">
        <v>356</v>
      </c>
      <c r="D320" s="262" t="s">
        <v>138</v>
      </c>
      <c r="E320" s="262" t="s">
        <v>105</v>
      </c>
      <c r="F320" s="264">
        <v>25990</v>
      </c>
    </row>
    <row r="321" spans="1:6" ht="15.75" customHeight="1" thickBot="1" x14ac:dyDescent="0.3">
      <c r="A321" s="261" t="s">
        <v>357</v>
      </c>
      <c r="B321" s="261">
        <v>422400</v>
      </c>
      <c r="C321" s="258" t="s">
        <v>358</v>
      </c>
      <c r="D321" s="262" t="s">
        <v>191</v>
      </c>
      <c r="E321" s="262" t="s">
        <v>186</v>
      </c>
      <c r="F321" s="264">
        <v>25990</v>
      </c>
    </row>
    <row r="322" spans="1:6" ht="15.75" customHeight="1" thickBot="1" x14ac:dyDescent="0.3">
      <c r="A322" s="261" t="s">
        <v>359</v>
      </c>
      <c r="B322" s="261">
        <v>422401</v>
      </c>
      <c r="C322" s="258" t="s">
        <v>360</v>
      </c>
      <c r="D322" s="262" t="s">
        <v>191</v>
      </c>
      <c r="E322" s="262" t="s">
        <v>186</v>
      </c>
      <c r="F322" s="264">
        <v>25990</v>
      </c>
    </row>
    <row r="323" spans="1:6" ht="15.75" customHeight="1" thickBot="1" x14ac:dyDescent="0.3">
      <c r="A323" s="261" t="s">
        <v>361</v>
      </c>
      <c r="B323" s="261">
        <v>422500</v>
      </c>
      <c r="C323" s="258" t="s">
        <v>362</v>
      </c>
      <c r="D323" s="262" t="s">
        <v>138</v>
      </c>
      <c r="E323" s="262" t="s">
        <v>105</v>
      </c>
      <c r="F323" s="264">
        <v>25990</v>
      </c>
    </row>
    <row r="324" spans="1:6" ht="15.75" customHeight="1" thickBot="1" x14ac:dyDescent="0.3">
      <c r="A324" s="261" t="s">
        <v>363</v>
      </c>
      <c r="B324" s="261">
        <v>422501</v>
      </c>
      <c r="C324" s="258" t="s">
        <v>364</v>
      </c>
      <c r="D324" s="262" t="s">
        <v>138</v>
      </c>
      <c r="E324" s="262" t="s">
        <v>105</v>
      </c>
      <c r="F324" s="264">
        <v>25990</v>
      </c>
    </row>
    <row r="325" spans="1:6" ht="15.75" customHeight="1" thickBot="1" x14ac:dyDescent="0.3">
      <c r="A325" s="261">
        <v>4226</v>
      </c>
      <c r="B325" s="261">
        <v>422600</v>
      </c>
      <c r="C325" s="258" t="s">
        <v>365</v>
      </c>
      <c r="D325" s="262" t="s">
        <v>191</v>
      </c>
      <c r="E325" s="262" t="s">
        <v>199</v>
      </c>
      <c r="F325" s="264">
        <v>24990</v>
      </c>
    </row>
    <row r="326" spans="1:6" ht="15.75" customHeight="1" thickBot="1" x14ac:dyDescent="0.3">
      <c r="A326" s="261" t="s">
        <v>366</v>
      </c>
      <c r="B326" s="261">
        <v>422601</v>
      </c>
      <c r="C326" s="258" t="s">
        <v>367</v>
      </c>
      <c r="D326" s="262" t="s">
        <v>191</v>
      </c>
      <c r="E326" s="262" t="s">
        <v>199</v>
      </c>
      <c r="F326" s="264">
        <v>24990</v>
      </c>
    </row>
    <row r="327" spans="1:6" ht="15.75" customHeight="1" thickBot="1" x14ac:dyDescent="0.3">
      <c r="A327" s="261" t="s">
        <v>368</v>
      </c>
      <c r="B327" s="261">
        <v>422700</v>
      </c>
      <c r="C327" s="258" t="s">
        <v>369</v>
      </c>
      <c r="D327" s="262" t="s">
        <v>141</v>
      </c>
      <c r="E327" s="262" t="s">
        <v>370</v>
      </c>
      <c r="F327" s="264">
        <v>24990</v>
      </c>
    </row>
    <row r="328" spans="1:6" ht="15.75" customHeight="1" thickBot="1" x14ac:dyDescent="0.3">
      <c r="A328" s="261" t="s">
        <v>371</v>
      </c>
      <c r="B328" s="261">
        <v>422701</v>
      </c>
      <c r="C328" s="258" t="s">
        <v>372</v>
      </c>
      <c r="D328" s="262" t="s">
        <v>141</v>
      </c>
      <c r="E328" s="262" t="s">
        <v>370</v>
      </c>
      <c r="F328" s="264">
        <v>24990</v>
      </c>
    </row>
    <row r="329" spans="1:6" ht="15.75" customHeight="1" thickBot="1" x14ac:dyDescent="0.3">
      <c r="A329" s="261">
        <v>4228</v>
      </c>
      <c r="B329" s="261">
        <v>422800</v>
      </c>
      <c r="C329" s="258" t="s">
        <v>373</v>
      </c>
      <c r="D329" s="262" t="s">
        <v>294</v>
      </c>
      <c r="E329" s="262" t="s">
        <v>105</v>
      </c>
      <c r="F329" s="264">
        <v>25990</v>
      </c>
    </row>
    <row r="330" spans="1:6" ht="15.75" customHeight="1" thickBot="1" x14ac:dyDescent="0.3">
      <c r="A330" s="261">
        <v>4229</v>
      </c>
      <c r="B330" s="261">
        <v>422900</v>
      </c>
      <c r="C330" s="258" t="s">
        <v>374</v>
      </c>
      <c r="D330" s="262" t="s">
        <v>138</v>
      </c>
      <c r="E330" s="262" t="s">
        <v>199</v>
      </c>
      <c r="F330" s="264">
        <v>24990</v>
      </c>
    </row>
    <row r="331" spans="1:6" ht="15.75" customHeight="1" thickBot="1" x14ac:dyDescent="0.3">
      <c r="A331" s="261">
        <v>4230</v>
      </c>
      <c r="B331" s="261">
        <v>423000</v>
      </c>
      <c r="C331" s="258" t="s">
        <v>375</v>
      </c>
      <c r="D331" s="262" t="s">
        <v>138</v>
      </c>
      <c r="E331" s="262" t="s">
        <v>183</v>
      </c>
      <c r="F331" s="264">
        <v>26990</v>
      </c>
    </row>
    <row r="332" spans="1:6" ht="15.75" customHeight="1" thickBot="1" x14ac:dyDescent="0.3">
      <c r="A332" s="261">
        <v>4232</v>
      </c>
      <c r="B332" s="261">
        <v>423200</v>
      </c>
      <c r="C332" s="258" t="s">
        <v>376</v>
      </c>
      <c r="D332" s="262" t="s">
        <v>138</v>
      </c>
      <c r="E332" s="262" t="s">
        <v>186</v>
      </c>
      <c r="F332" s="264">
        <v>25990</v>
      </c>
    </row>
    <row r="333" spans="1:6" ht="15.75" customHeight="1" thickBot="1" x14ac:dyDescent="0.3">
      <c r="A333" s="261" t="s">
        <v>377</v>
      </c>
      <c r="B333" s="261">
        <v>423308</v>
      </c>
      <c r="C333" s="258" t="s">
        <v>378</v>
      </c>
      <c r="D333" s="262" t="s">
        <v>138</v>
      </c>
      <c r="E333" s="262" t="s">
        <v>192</v>
      </c>
      <c r="F333" s="264">
        <v>24990</v>
      </c>
    </row>
    <row r="334" spans="1:6" ht="15.75" customHeight="1" thickBot="1" x14ac:dyDescent="0.3">
      <c r="A334" s="261" t="s">
        <v>379</v>
      </c>
      <c r="B334" s="261">
        <v>423304</v>
      </c>
      <c r="C334" s="258" t="s">
        <v>380</v>
      </c>
      <c r="D334" s="262" t="s">
        <v>138</v>
      </c>
      <c r="E334" s="262" t="s">
        <v>192</v>
      </c>
      <c r="F334" s="264">
        <v>24990</v>
      </c>
    </row>
    <row r="335" spans="1:6" ht="15.75" customHeight="1" thickBot="1" x14ac:dyDescent="0.3">
      <c r="A335" s="261" t="s">
        <v>381</v>
      </c>
      <c r="B335" s="261">
        <v>423309</v>
      </c>
      <c r="C335" s="258" t="s">
        <v>382</v>
      </c>
      <c r="D335" s="262" t="s">
        <v>138</v>
      </c>
      <c r="E335" s="262" t="s">
        <v>192</v>
      </c>
      <c r="F335" s="264">
        <v>24990</v>
      </c>
    </row>
    <row r="336" spans="1:6" ht="15.75" customHeight="1" thickBot="1" x14ac:dyDescent="0.3">
      <c r="A336" s="261" t="s">
        <v>383</v>
      </c>
      <c r="B336" s="261">
        <v>423316</v>
      </c>
      <c r="C336" s="258" t="s">
        <v>384</v>
      </c>
      <c r="D336" s="262" t="s">
        <v>138</v>
      </c>
      <c r="E336" s="262" t="s">
        <v>192</v>
      </c>
      <c r="F336" s="264">
        <v>24990</v>
      </c>
    </row>
    <row r="337" spans="1:6" ht="15.75" customHeight="1" thickBot="1" x14ac:dyDescent="0.3">
      <c r="A337" s="261" t="s">
        <v>385</v>
      </c>
      <c r="B337" s="261">
        <v>423348</v>
      </c>
      <c r="C337" s="258" t="s">
        <v>386</v>
      </c>
      <c r="D337" s="262" t="s">
        <v>138</v>
      </c>
      <c r="E337" s="262" t="s">
        <v>192</v>
      </c>
      <c r="F337" s="264">
        <v>24990</v>
      </c>
    </row>
    <row r="338" spans="1:6" ht="15.75" customHeight="1" thickBot="1" x14ac:dyDescent="0.3">
      <c r="A338" s="261" t="s">
        <v>387</v>
      </c>
      <c r="B338" s="261">
        <v>423404</v>
      </c>
      <c r="C338" s="267" t="s">
        <v>388</v>
      </c>
      <c r="D338" s="262" t="s">
        <v>138</v>
      </c>
      <c r="E338" s="262" t="s">
        <v>105</v>
      </c>
      <c r="F338" s="264">
        <v>25990</v>
      </c>
    </row>
    <row r="339" spans="1:6" ht="15.75" customHeight="1" thickBot="1" x14ac:dyDescent="0.3">
      <c r="A339" s="261" t="s">
        <v>389</v>
      </c>
      <c r="B339" s="261">
        <v>423408</v>
      </c>
      <c r="C339" s="258" t="s">
        <v>390</v>
      </c>
      <c r="D339" s="262" t="s">
        <v>138</v>
      </c>
      <c r="E339" s="262" t="s">
        <v>105</v>
      </c>
      <c r="F339" s="264">
        <v>25990</v>
      </c>
    </row>
    <row r="340" spans="1:6" ht="15.75" customHeight="1" thickBot="1" x14ac:dyDescent="0.3">
      <c r="A340" s="261" t="s">
        <v>391</v>
      </c>
      <c r="B340" s="261">
        <v>423409</v>
      </c>
      <c r="C340" s="258" t="s">
        <v>392</v>
      </c>
      <c r="D340" s="262" t="s">
        <v>138</v>
      </c>
      <c r="E340" s="262" t="s">
        <v>105</v>
      </c>
      <c r="F340" s="264">
        <v>25990</v>
      </c>
    </row>
    <row r="341" spans="1:6" ht="16.5" customHeight="1" thickBot="1" x14ac:dyDescent="0.3">
      <c r="A341" s="261" t="s">
        <v>393</v>
      </c>
      <c r="B341" s="261">
        <v>423416</v>
      </c>
      <c r="C341" s="258" t="s">
        <v>384</v>
      </c>
      <c r="D341" s="262" t="s">
        <v>138</v>
      </c>
      <c r="E341" s="262" t="s">
        <v>105</v>
      </c>
      <c r="F341" s="264">
        <v>25990</v>
      </c>
    </row>
    <row r="342" spans="1:6" ht="15.75" customHeight="1" thickBot="1" x14ac:dyDescent="0.3">
      <c r="A342" s="261" t="s">
        <v>394</v>
      </c>
      <c r="B342" s="261">
        <v>423448</v>
      </c>
      <c r="C342" s="258" t="s">
        <v>386</v>
      </c>
      <c r="D342" s="262" t="s">
        <v>138</v>
      </c>
      <c r="E342" s="262" t="s">
        <v>105</v>
      </c>
      <c r="F342" s="264">
        <v>25990</v>
      </c>
    </row>
    <row r="343" spans="1:6" ht="15.75" customHeight="1" thickBot="1" x14ac:dyDescent="0.3">
      <c r="A343" s="261" t="s">
        <v>395</v>
      </c>
      <c r="B343" s="261">
        <v>423500</v>
      </c>
      <c r="C343" s="258" t="s">
        <v>396</v>
      </c>
      <c r="D343" s="262" t="s">
        <v>141</v>
      </c>
      <c r="E343" s="262" t="s">
        <v>199</v>
      </c>
      <c r="F343" s="264">
        <v>24990</v>
      </c>
    </row>
    <row r="344" spans="1:6" ht="15.75" customHeight="1" thickBot="1" x14ac:dyDescent="0.3">
      <c r="A344" s="261" t="s">
        <v>397</v>
      </c>
      <c r="B344" s="261">
        <v>423501</v>
      </c>
      <c r="C344" s="258" t="s">
        <v>398</v>
      </c>
      <c r="D344" s="262" t="s">
        <v>141</v>
      </c>
      <c r="E344" s="262" t="s">
        <v>199</v>
      </c>
      <c r="F344" s="264">
        <v>24990</v>
      </c>
    </row>
    <row r="345" spans="1:6" ht="15.75" customHeight="1" thickBot="1" x14ac:dyDescent="0.3">
      <c r="A345" s="261" t="s">
        <v>399</v>
      </c>
      <c r="B345" s="261">
        <v>423600</v>
      </c>
      <c r="C345" s="258" t="s">
        <v>400</v>
      </c>
      <c r="D345" s="262" t="s">
        <v>141</v>
      </c>
      <c r="E345" s="262" t="s">
        <v>183</v>
      </c>
      <c r="F345" s="264">
        <v>26990</v>
      </c>
    </row>
    <row r="346" spans="1:6" ht="15.75" customHeight="1" thickBot="1" x14ac:dyDescent="0.3">
      <c r="A346" s="261" t="s">
        <v>401</v>
      </c>
      <c r="B346" s="261">
        <v>423800</v>
      </c>
      <c r="C346" s="258" t="s">
        <v>402</v>
      </c>
      <c r="D346" s="262" t="s">
        <v>141</v>
      </c>
      <c r="E346" s="262" t="s">
        <v>183</v>
      </c>
      <c r="F346" s="264">
        <v>26990</v>
      </c>
    </row>
    <row r="347" spans="1:6" ht="18" customHeight="1" thickBot="1" x14ac:dyDescent="0.3">
      <c r="A347" s="261" t="s">
        <v>403</v>
      </c>
      <c r="B347" s="261">
        <v>423900</v>
      </c>
      <c r="C347" s="258" t="s">
        <v>404</v>
      </c>
      <c r="D347" s="262" t="s">
        <v>138</v>
      </c>
      <c r="E347" s="262" t="s">
        <v>105</v>
      </c>
      <c r="F347" s="264">
        <v>25990</v>
      </c>
    </row>
    <row r="348" spans="1:6" ht="18" customHeight="1" thickBot="1" x14ac:dyDescent="0.3">
      <c r="A348" s="261" t="s">
        <v>405</v>
      </c>
      <c r="B348" s="261">
        <v>424000</v>
      </c>
      <c r="C348" s="258" t="s">
        <v>406</v>
      </c>
      <c r="D348" s="262" t="s">
        <v>141</v>
      </c>
      <c r="E348" s="262" t="s">
        <v>199</v>
      </c>
      <c r="F348" s="264">
        <v>24990</v>
      </c>
    </row>
    <row r="349" spans="1:6" ht="18" customHeight="1" thickBot="1" x14ac:dyDescent="0.3">
      <c r="A349" s="261" t="s">
        <v>407</v>
      </c>
      <c r="B349" s="261">
        <v>424200</v>
      </c>
      <c r="C349" s="258" t="s">
        <v>408</v>
      </c>
      <c r="D349" s="262" t="s">
        <v>141</v>
      </c>
      <c r="E349" s="262" t="s">
        <v>183</v>
      </c>
      <c r="F349" s="264">
        <v>26990</v>
      </c>
    </row>
    <row r="350" spans="1:6" ht="18" customHeight="1" thickBot="1" x14ac:dyDescent="0.3">
      <c r="A350" s="261" t="s">
        <v>409</v>
      </c>
      <c r="B350" s="261">
        <v>424300</v>
      </c>
      <c r="C350" s="258" t="s">
        <v>410</v>
      </c>
      <c r="D350" s="262" t="s">
        <v>141</v>
      </c>
      <c r="E350" s="262" t="s">
        <v>199</v>
      </c>
      <c r="F350" s="264">
        <v>24990</v>
      </c>
    </row>
    <row r="351" spans="1:6" ht="18" customHeight="1" thickBot="1" x14ac:dyDescent="0.3">
      <c r="A351" s="261" t="s">
        <v>411</v>
      </c>
      <c r="B351" s="261">
        <v>424301</v>
      </c>
      <c r="C351" s="258" t="s">
        <v>412</v>
      </c>
      <c r="D351" s="262" t="s">
        <v>141</v>
      </c>
      <c r="E351" s="262" t="s">
        <v>199</v>
      </c>
      <c r="F351" s="264">
        <v>24990</v>
      </c>
    </row>
    <row r="352" spans="1:6" ht="18" customHeight="1" thickBot="1" x14ac:dyDescent="0.3">
      <c r="A352" s="261" t="s">
        <v>413</v>
      </c>
      <c r="B352" s="261">
        <v>424400</v>
      </c>
      <c r="C352" s="258" t="s">
        <v>414</v>
      </c>
      <c r="D352" s="262" t="s">
        <v>141</v>
      </c>
      <c r="E352" s="262" t="s">
        <v>199</v>
      </c>
      <c r="F352" s="264">
        <v>24990</v>
      </c>
    </row>
    <row r="353" spans="1:6" ht="18" customHeight="1" thickBot="1" x14ac:dyDescent="0.3">
      <c r="A353" s="261" t="s">
        <v>415</v>
      </c>
      <c r="B353" s="261">
        <v>424500</v>
      </c>
      <c r="C353" s="258" t="s">
        <v>416</v>
      </c>
      <c r="D353" s="262" t="s">
        <v>141</v>
      </c>
      <c r="E353" s="262" t="s">
        <v>199</v>
      </c>
      <c r="F353" s="264">
        <v>24990</v>
      </c>
    </row>
    <row r="354" spans="1:6" ht="18" customHeight="1" thickBot="1" x14ac:dyDescent="0.3">
      <c r="A354" s="261" t="s">
        <v>417</v>
      </c>
      <c r="B354" s="261">
        <v>424600</v>
      </c>
      <c r="C354" s="258" t="s">
        <v>418</v>
      </c>
      <c r="D354" s="262" t="s">
        <v>141</v>
      </c>
      <c r="E354" s="262" t="s">
        <v>192</v>
      </c>
      <c r="F354" s="264">
        <v>24990</v>
      </c>
    </row>
    <row r="355" spans="1:6" ht="18" customHeight="1" thickBot="1" x14ac:dyDescent="0.3">
      <c r="A355" s="261" t="s">
        <v>419</v>
      </c>
      <c r="B355" s="261">
        <v>424700</v>
      </c>
      <c r="C355" s="258" t="s">
        <v>420</v>
      </c>
      <c r="D355" s="262" t="s">
        <v>138</v>
      </c>
      <c r="E355" s="262" t="s">
        <v>264</v>
      </c>
      <c r="F355" s="264">
        <v>25990</v>
      </c>
    </row>
    <row r="356" spans="1:6" ht="18" customHeight="1" thickBot="1" x14ac:dyDescent="0.3">
      <c r="A356" s="261" t="s">
        <v>421</v>
      </c>
      <c r="B356" s="261">
        <v>424800</v>
      </c>
      <c r="C356" s="258" t="s">
        <v>422</v>
      </c>
      <c r="D356" s="262" t="s">
        <v>138</v>
      </c>
      <c r="E356" s="262" t="s">
        <v>264</v>
      </c>
      <c r="F356" s="264">
        <v>25990</v>
      </c>
    </row>
    <row r="357" spans="1:6" ht="18" customHeight="1" thickBot="1" x14ac:dyDescent="0.3">
      <c r="A357" s="261" t="s">
        <v>423</v>
      </c>
      <c r="B357" s="261">
        <v>424801</v>
      </c>
      <c r="C357" s="258" t="s">
        <v>424</v>
      </c>
      <c r="D357" s="262" t="s">
        <v>138</v>
      </c>
      <c r="E357" s="262" t="s">
        <v>264</v>
      </c>
      <c r="F357" s="264">
        <v>25990</v>
      </c>
    </row>
    <row r="358" spans="1:6" ht="16.5" customHeight="1" thickBot="1" x14ac:dyDescent="0.3">
      <c r="A358" s="261" t="s">
        <v>425</v>
      </c>
      <c r="B358" s="261">
        <v>424900</v>
      </c>
      <c r="C358" s="258" t="s">
        <v>426</v>
      </c>
      <c r="D358" s="262" t="s">
        <v>141</v>
      </c>
      <c r="E358" s="262" t="s">
        <v>264</v>
      </c>
      <c r="F358" s="264">
        <v>27990</v>
      </c>
    </row>
    <row r="359" spans="1:6" ht="18" customHeight="1" thickBot="1" x14ac:dyDescent="0.3">
      <c r="A359" s="261" t="s">
        <v>427</v>
      </c>
      <c r="B359" s="261">
        <v>424960</v>
      </c>
      <c r="C359" s="258" t="s">
        <v>428</v>
      </c>
      <c r="D359" s="262" t="s">
        <v>141</v>
      </c>
      <c r="E359" s="262" t="s">
        <v>264</v>
      </c>
      <c r="F359" s="264">
        <v>27990</v>
      </c>
    </row>
    <row r="360" spans="1:6" ht="16.5" customHeight="1" thickBot="1" x14ac:dyDescent="0.3">
      <c r="A360" s="261" t="s">
        <v>429</v>
      </c>
      <c r="B360" s="261">
        <v>425000</v>
      </c>
      <c r="C360" s="258" t="s">
        <v>306</v>
      </c>
      <c r="D360" s="262" t="s">
        <v>141</v>
      </c>
      <c r="E360" s="262" t="s">
        <v>105</v>
      </c>
      <c r="F360" s="264">
        <v>25990</v>
      </c>
    </row>
    <row r="361" spans="1:6" ht="18" customHeight="1" thickBot="1" x14ac:dyDescent="0.3">
      <c r="A361" s="261" t="s">
        <v>430</v>
      </c>
      <c r="B361" s="261">
        <v>425160</v>
      </c>
      <c r="C361" s="258" t="s">
        <v>431</v>
      </c>
      <c r="D361" s="262" t="s">
        <v>141</v>
      </c>
      <c r="E361" s="262" t="s">
        <v>264</v>
      </c>
      <c r="F361" s="264">
        <v>25990</v>
      </c>
    </row>
    <row r="362" spans="1:6" ht="16.5" customHeight="1" thickBot="1" x14ac:dyDescent="0.3">
      <c r="A362" s="261">
        <v>4256</v>
      </c>
      <c r="B362" s="261">
        <v>425600</v>
      </c>
      <c r="C362" s="258" t="s">
        <v>432</v>
      </c>
      <c r="D362" s="262" t="s">
        <v>138</v>
      </c>
      <c r="E362" s="262" t="s">
        <v>183</v>
      </c>
      <c r="F362" s="264">
        <v>25990</v>
      </c>
    </row>
    <row r="363" spans="1:6" ht="16.5" customHeight="1" thickBot="1" x14ac:dyDescent="0.3">
      <c r="A363" s="261" t="s">
        <v>433</v>
      </c>
      <c r="B363" s="261">
        <v>425704</v>
      </c>
      <c r="C363" s="258" t="s">
        <v>434</v>
      </c>
      <c r="D363" s="262" t="s">
        <v>138</v>
      </c>
      <c r="E363" s="262" t="s">
        <v>264</v>
      </c>
      <c r="F363" s="264">
        <v>25990</v>
      </c>
    </row>
    <row r="364" spans="1:6" ht="16.5" customHeight="1" thickBot="1" x14ac:dyDescent="0.3">
      <c r="A364" s="261" t="s">
        <v>435</v>
      </c>
      <c r="B364" s="261">
        <v>425708</v>
      </c>
      <c r="C364" s="258" t="s">
        <v>436</v>
      </c>
      <c r="D364" s="262" t="s">
        <v>138</v>
      </c>
      <c r="E364" s="262" t="s">
        <v>264</v>
      </c>
      <c r="F364" s="264">
        <v>25990</v>
      </c>
    </row>
    <row r="365" spans="1:6" ht="15.75" customHeight="1" thickBot="1" x14ac:dyDescent="0.3">
      <c r="A365" s="261" t="s">
        <v>437</v>
      </c>
      <c r="B365" s="261">
        <v>425709</v>
      </c>
      <c r="C365" s="258" t="s">
        <v>438</v>
      </c>
      <c r="D365" s="262" t="s">
        <v>138</v>
      </c>
      <c r="E365" s="262" t="s">
        <v>264</v>
      </c>
      <c r="F365" s="264">
        <v>25990</v>
      </c>
    </row>
    <row r="366" spans="1:6" ht="15.75" customHeight="1" thickBot="1" x14ac:dyDescent="0.3">
      <c r="A366" s="261" t="s">
        <v>439</v>
      </c>
      <c r="B366" s="261">
        <v>425716</v>
      </c>
      <c r="C366" s="258" t="s">
        <v>440</v>
      </c>
      <c r="D366" s="262" t="s">
        <v>138</v>
      </c>
      <c r="E366" s="262" t="s">
        <v>264</v>
      </c>
      <c r="F366" s="264">
        <v>25990</v>
      </c>
    </row>
    <row r="367" spans="1:6" ht="15.75" customHeight="1" thickBot="1" x14ac:dyDescent="0.3">
      <c r="A367" s="261" t="s">
        <v>441</v>
      </c>
      <c r="B367" s="261">
        <v>425748</v>
      </c>
      <c r="C367" s="258" t="s">
        <v>442</v>
      </c>
      <c r="D367" s="262" t="s">
        <v>138</v>
      </c>
      <c r="E367" s="262" t="s">
        <v>264</v>
      </c>
      <c r="F367" s="264">
        <v>25990</v>
      </c>
    </row>
    <row r="368" spans="1:6" ht="15.75" customHeight="1" thickBot="1" x14ac:dyDescent="0.3">
      <c r="A368" s="261" t="s">
        <v>443</v>
      </c>
      <c r="B368" s="261">
        <v>420502</v>
      </c>
      <c r="C368" s="258" t="s">
        <v>444</v>
      </c>
      <c r="D368" s="262" t="s">
        <v>191</v>
      </c>
      <c r="E368" s="262" t="s">
        <v>186</v>
      </c>
      <c r="F368" s="264">
        <v>25990</v>
      </c>
    </row>
    <row r="369" spans="1:9" ht="15.75" customHeight="1" x14ac:dyDescent="0.25">
      <c r="A369" s="261" t="s">
        <v>445</v>
      </c>
      <c r="B369" s="261">
        <v>420700</v>
      </c>
      <c r="C369" s="258" t="s">
        <v>446</v>
      </c>
      <c r="D369" s="262" t="s">
        <v>191</v>
      </c>
      <c r="E369" s="262" t="s">
        <v>186</v>
      </c>
      <c r="F369" s="264">
        <v>25990</v>
      </c>
    </row>
    <row r="370" spans="1:9" ht="15.75" customHeight="1" x14ac:dyDescent="0.25">
      <c r="A370" s="170">
        <v>143350038</v>
      </c>
      <c r="B370" s="328">
        <v>433500</v>
      </c>
      <c r="C370" s="367" t="s">
        <v>447</v>
      </c>
      <c r="D370" s="330" t="s">
        <v>141</v>
      </c>
      <c r="E370" s="330" t="s">
        <v>199</v>
      </c>
      <c r="F370" s="264">
        <v>26990</v>
      </c>
      <c r="H370" s="46" t="s">
        <v>448</v>
      </c>
      <c r="I370" s="46" t="s">
        <v>449</v>
      </c>
    </row>
    <row r="371" spans="1:9" ht="15" customHeight="1" x14ac:dyDescent="0.25">
      <c r="A371" s="272">
        <v>143110038</v>
      </c>
      <c r="B371" s="328">
        <v>431100</v>
      </c>
      <c r="C371" s="374" t="s">
        <v>450</v>
      </c>
      <c r="D371" s="46" t="s">
        <v>6</v>
      </c>
      <c r="E371" s="46" t="s">
        <v>9</v>
      </c>
      <c r="F371" s="264">
        <v>25990</v>
      </c>
      <c r="G371" s="329" t="s">
        <v>451</v>
      </c>
    </row>
    <row r="372" spans="1:9" ht="15" customHeight="1" x14ac:dyDescent="0.25">
      <c r="A372" s="272">
        <v>143360038</v>
      </c>
      <c r="B372" s="328">
        <v>433600</v>
      </c>
      <c r="C372" s="374" t="s">
        <v>452</v>
      </c>
      <c r="D372" s="46" t="s">
        <v>6</v>
      </c>
      <c r="E372" s="46" t="s">
        <v>199</v>
      </c>
      <c r="F372" s="264">
        <v>24990</v>
      </c>
      <c r="G372" s="329" t="s">
        <v>451</v>
      </c>
    </row>
    <row r="373" spans="1:9" ht="15.75" customHeight="1" x14ac:dyDescent="0.25">
      <c r="A373" s="170">
        <v>143560038</v>
      </c>
      <c r="B373" s="328">
        <v>435600</v>
      </c>
      <c r="C373" s="375" t="s">
        <v>453</v>
      </c>
      <c r="D373" s="110" t="s">
        <v>6</v>
      </c>
      <c r="E373" s="114" t="s">
        <v>13</v>
      </c>
      <c r="F373" s="264">
        <v>26990</v>
      </c>
      <c r="G373" s="329" t="s">
        <v>451</v>
      </c>
      <c r="H373" s="46" t="s">
        <v>454</v>
      </c>
    </row>
    <row r="374" spans="1:9" ht="15.75" customHeight="1" x14ac:dyDescent="0.25">
      <c r="A374" s="170">
        <v>143560038</v>
      </c>
      <c r="B374" s="328">
        <v>435601</v>
      </c>
      <c r="C374" s="375" t="s">
        <v>455</v>
      </c>
      <c r="D374" s="110" t="s">
        <v>6</v>
      </c>
      <c r="E374" s="114" t="s">
        <v>13</v>
      </c>
      <c r="F374" s="264">
        <v>26991</v>
      </c>
    </row>
    <row r="375" spans="1:9" ht="15.75" customHeight="1" x14ac:dyDescent="0.25">
      <c r="A375" s="270">
        <v>143550038</v>
      </c>
      <c r="B375" s="328">
        <v>435500</v>
      </c>
      <c r="C375" s="375" t="s">
        <v>456</v>
      </c>
      <c r="D375" s="170"/>
      <c r="E375" s="170"/>
      <c r="F375" s="264"/>
    </row>
    <row r="376" spans="1:9" ht="15.75" customHeight="1" x14ac:dyDescent="0.25">
      <c r="A376" s="270">
        <v>143530038</v>
      </c>
      <c r="B376" s="328">
        <v>435300</v>
      </c>
      <c r="C376" s="375" t="s">
        <v>457</v>
      </c>
      <c r="D376" s="262" t="s">
        <v>141</v>
      </c>
      <c r="E376" s="262" t="s">
        <v>105</v>
      </c>
      <c r="F376" s="264">
        <v>26990</v>
      </c>
      <c r="G376" s="329" t="s">
        <v>451</v>
      </c>
    </row>
    <row r="377" spans="1:9" s="337" customFormat="1" ht="15.75" customHeight="1" x14ac:dyDescent="0.25">
      <c r="A377" s="333">
        <v>143480038</v>
      </c>
      <c r="B377" s="334">
        <v>434800</v>
      </c>
      <c r="C377" s="376" t="s">
        <v>458</v>
      </c>
      <c r="D377" s="335" t="s">
        <v>6</v>
      </c>
      <c r="E377" s="335" t="s">
        <v>14</v>
      </c>
      <c r="F377" s="336">
        <v>24990</v>
      </c>
    </row>
    <row r="378" spans="1:9" s="337" customFormat="1" ht="15.75" customHeight="1" x14ac:dyDescent="0.25">
      <c r="A378" s="338">
        <v>143480038</v>
      </c>
      <c r="B378" s="334">
        <v>434801</v>
      </c>
      <c r="C378" s="376" t="s">
        <v>459</v>
      </c>
      <c r="D378" s="335" t="s">
        <v>6</v>
      </c>
      <c r="E378" s="335" t="s">
        <v>14</v>
      </c>
      <c r="F378" s="336">
        <v>24990</v>
      </c>
    </row>
    <row r="379" spans="1:9" s="337" customFormat="1" ht="15.75" customHeight="1" x14ac:dyDescent="0.25">
      <c r="A379" s="338">
        <v>143486038</v>
      </c>
      <c r="B379" s="334">
        <v>434860</v>
      </c>
      <c r="C379" s="376" t="s">
        <v>460</v>
      </c>
      <c r="D379" s="335" t="s">
        <v>6</v>
      </c>
      <c r="E379" s="335" t="s">
        <v>14</v>
      </c>
      <c r="F379" s="336">
        <v>24991</v>
      </c>
    </row>
    <row r="380" spans="1:9" s="337" customFormat="1" ht="15.75" customHeight="1" x14ac:dyDescent="0.25">
      <c r="A380" s="338">
        <v>143480038</v>
      </c>
      <c r="B380" s="334">
        <v>434861</v>
      </c>
      <c r="C380" s="376" t="s">
        <v>461</v>
      </c>
      <c r="D380" s="335" t="s">
        <v>6</v>
      </c>
      <c r="E380" s="335" t="s">
        <v>14</v>
      </c>
      <c r="F380" s="336">
        <v>24990</v>
      </c>
    </row>
    <row r="381" spans="1:9" ht="15" customHeight="1" x14ac:dyDescent="0.25">
      <c r="A381" s="270">
        <v>143170038</v>
      </c>
      <c r="B381" s="257">
        <v>431700</v>
      </c>
      <c r="C381" s="375" t="s">
        <v>462</v>
      </c>
      <c r="D381" s="170"/>
      <c r="E381" s="170"/>
      <c r="F381" s="264"/>
    </row>
    <row r="382" spans="1:9" ht="16.5" customHeight="1" x14ac:dyDescent="0.25">
      <c r="A382" s="271">
        <v>143210038</v>
      </c>
      <c r="B382" s="328">
        <v>432100</v>
      </c>
      <c r="C382" s="375" t="s">
        <v>463</v>
      </c>
      <c r="D382" s="110" t="s">
        <v>6</v>
      </c>
      <c r="E382" s="114" t="s">
        <v>13</v>
      </c>
      <c r="F382" s="264">
        <v>25990</v>
      </c>
    </row>
    <row r="383" spans="1:9" ht="16.5" customHeight="1" x14ac:dyDescent="0.25">
      <c r="A383" s="271">
        <v>143220038</v>
      </c>
      <c r="B383" s="328">
        <v>432200</v>
      </c>
      <c r="C383" s="367" t="s">
        <v>464</v>
      </c>
      <c r="D383" s="110" t="s">
        <v>6</v>
      </c>
      <c r="E383" s="114" t="s">
        <v>13</v>
      </c>
      <c r="F383" s="264">
        <v>26990</v>
      </c>
    </row>
    <row r="384" spans="1:9" ht="16.5" customHeight="1" x14ac:dyDescent="0.25">
      <c r="A384" s="271">
        <v>143220038</v>
      </c>
      <c r="B384" s="328">
        <v>432201</v>
      </c>
      <c r="C384" s="367" t="s">
        <v>464</v>
      </c>
      <c r="D384" s="110" t="s">
        <v>6</v>
      </c>
      <c r="E384" s="114" t="s">
        <v>13</v>
      </c>
      <c r="F384" s="264">
        <v>26990</v>
      </c>
    </row>
    <row r="385" spans="1:7" ht="16.5" customHeight="1" x14ac:dyDescent="0.25">
      <c r="A385" s="271">
        <v>143226038</v>
      </c>
      <c r="B385" s="328">
        <v>432260</v>
      </c>
      <c r="C385" s="375" t="s">
        <v>465</v>
      </c>
      <c r="D385" s="110" t="s">
        <v>6</v>
      </c>
      <c r="E385" s="114" t="s">
        <v>13</v>
      </c>
      <c r="F385" s="264">
        <v>27990</v>
      </c>
    </row>
    <row r="386" spans="1:7" ht="16.5" customHeight="1" x14ac:dyDescent="0.25">
      <c r="A386" s="271">
        <v>143226138</v>
      </c>
      <c r="B386" s="328">
        <v>432261</v>
      </c>
      <c r="C386" s="375" t="s">
        <v>466</v>
      </c>
      <c r="D386" s="110" t="s">
        <v>6</v>
      </c>
      <c r="E386" s="114" t="s">
        <v>13</v>
      </c>
      <c r="F386" s="264">
        <v>27990</v>
      </c>
    </row>
    <row r="387" spans="1:7" ht="16.5" customHeight="1" x14ac:dyDescent="0.25">
      <c r="A387" s="271">
        <v>143220138</v>
      </c>
      <c r="B387" s="328">
        <v>432202</v>
      </c>
      <c r="C387" s="367" t="s">
        <v>467</v>
      </c>
      <c r="D387" s="110" t="s">
        <v>6</v>
      </c>
      <c r="E387" s="114" t="s">
        <v>13</v>
      </c>
      <c r="F387" s="264">
        <v>26990</v>
      </c>
    </row>
    <row r="388" spans="1:7" ht="16.5" customHeight="1" x14ac:dyDescent="0.25">
      <c r="A388" s="271">
        <v>143140038</v>
      </c>
      <c r="B388" s="328">
        <v>431400</v>
      </c>
      <c r="C388" s="375" t="s">
        <v>468</v>
      </c>
      <c r="D388" s="110" t="s">
        <v>6</v>
      </c>
      <c r="E388" s="114" t="s">
        <v>469</v>
      </c>
      <c r="F388" s="264">
        <v>25990</v>
      </c>
    </row>
    <row r="389" spans="1:7" ht="15" customHeight="1" x14ac:dyDescent="0.25">
      <c r="A389" s="270">
        <v>143510038</v>
      </c>
      <c r="B389" s="257">
        <v>435100</v>
      </c>
      <c r="C389" s="375" t="s">
        <v>462</v>
      </c>
      <c r="D389" s="170"/>
      <c r="E389" s="170"/>
      <c r="F389" s="264"/>
    </row>
    <row r="390" spans="1:7" ht="16.5" customHeight="1" x14ac:dyDescent="0.25">
      <c r="A390" s="293">
        <v>143180038</v>
      </c>
      <c r="B390" s="328">
        <v>431800</v>
      </c>
      <c r="C390" s="375" t="s">
        <v>470</v>
      </c>
      <c r="D390" s="46" t="s">
        <v>6</v>
      </c>
      <c r="E390" s="114" t="s">
        <v>471</v>
      </c>
      <c r="F390" s="264">
        <v>26990</v>
      </c>
    </row>
    <row r="391" spans="1:7" ht="16.5" customHeight="1" x14ac:dyDescent="0.25">
      <c r="A391" s="271">
        <v>143630038</v>
      </c>
      <c r="B391" s="328">
        <v>436300</v>
      </c>
      <c r="C391" s="375" t="s">
        <v>472</v>
      </c>
      <c r="D391" s="110" t="s">
        <v>6</v>
      </c>
      <c r="E391" s="114" t="s">
        <v>14</v>
      </c>
      <c r="F391" s="264">
        <v>24990</v>
      </c>
    </row>
    <row r="392" spans="1:7" ht="16.5" customHeight="1" x14ac:dyDescent="0.25">
      <c r="A392" s="271">
        <v>143600038</v>
      </c>
      <c r="B392" s="257">
        <v>436000</v>
      </c>
      <c r="C392" s="375" t="s">
        <v>462</v>
      </c>
      <c r="D392" s="110"/>
      <c r="E392" s="114"/>
      <c r="F392" s="264"/>
    </row>
    <row r="393" spans="1:7" ht="16.5" customHeight="1" x14ac:dyDescent="0.25">
      <c r="A393" s="271">
        <v>143650038</v>
      </c>
      <c r="B393" s="328">
        <v>436500</v>
      </c>
      <c r="C393" s="375" t="s">
        <v>473</v>
      </c>
      <c r="D393" s="110" t="s">
        <v>6</v>
      </c>
      <c r="E393" s="114" t="s">
        <v>9</v>
      </c>
      <c r="F393" s="264">
        <v>25990</v>
      </c>
      <c r="G393" s="331">
        <v>3902</v>
      </c>
    </row>
    <row r="394" spans="1:7" ht="15" customHeight="1" x14ac:dyDescent="0.25">
      <c r="A394" s="270">
        <v>143470038</v>
      </c>
      <c r="B394" s="257">
        <v>434700</v>
      </c>
      <c r="C394" s="375" t="s">
        <v>462</v>
      </c>
      <c r="D394" s="170"/>
      <c r="E394" s="170"/>
      <c r="F394" s="264"/>
    </row>
    <row r="395" spans="1:7" ht="15" customHeight="1" x14ac:dyDescent="0.25">
      <c r="A395" s="270">
        <v>143370038</v>
      </c>
      <c r="B395" s="328">
        <v>433700</v>
      </c>
      <c r="C395" s="375" t="s">
        <v>474</v>
      </c>
      <c r="D395" s="170" t="s">
        <v>6</v>
      </c>
      <c r="E395" s="170" t="s">
        <v>13</v>
      </c>
      <c r="F395" s="264">
        <v>26990</v>
      </c>
    </row>
    <row r="396" spans="1:7" ht="15" customHeight="1" x14ac:dyDescent="0.25">
      <c r="A396" s="270">
        <v>143390038</v>
      </c>
      <c r="B396" s="328">
        <v>433900</v>
      </c>
      <c r="C396" s="375" t="s">
        <v>475</v>
      </c>
      <c r="D396" s="170" t="s">
        <v>6</v>
      </c>
      <c r="E396" s="170" t="s">
        <v>13</v>
      </c>
      <c r="F396" s="264">
        <v>26990</v>
      </c>
      <c r="G396" s="329" t="s">
        <v>451</v>
      </c>
    </row>
    <row r="397" spans="1:7" ht="15" customHeight="1" x14ac:dyDescent="0.25">
      <c r="A397" s="270">
        <v>143130038</v>
      </c>
      <c r="B397" s="328">
        <v>431300</v>
      </c>
      <c r="C397" s="375" t="s">
        <v>476</v>
      </c>
      <c r="D397" s="170" t="s">
        <v>6</v>
      </c>
      <c r="E397" s="170" t="s">
        <v>13</v>
      </c>
      <c r="F397" s="264">
        <v>26990</v>
      </c>
      <c r="G397" s="46" t="s">
        <v>477</v>
      </c>
    </row>
    <row r="398" spans="1:7" s="337" customFormat="1" ht="15" customHeight="1" x14ac:dyDescent="0.25">
      <c r="A398" s="333">
        <v>143250038</v>
      </c>
      <c r="B398" s="334">
        <v>432500</v>
      </c>
      <c r="C398" s="376" t="s">
        <v>478</v>
      </c>
      <c r="D398" s="338" t="s">
        <v>6</v>
      </c>
      <c r="E398" s="338" t="s">
        <v>471</v>
      </c>
      <c r="F398" s="336">
        <v>25990</v>
      </c>
    </row>
    <row r="399" spans="1:7" s="337" customFormat="1" ht="15" customHeight="1" x14ac:dyDescent="0.25">
      <c r="A399" s="333">
        <v>143250138</v>
      </c>
      <c r="B399" s="334">
        <v>432501</v>
      </c>
      <c r="C399" s="376" t="s">
        <v>479</v>
      </c>
      <c r="D399" s="338" t="s">
        <v>6</v>
      </c>
      <c r="E399" s="338" t="s">
        <v>471</v>
      </c>
      <c r="F399" s="336">
        <v>25900</v>
      </c>
    </row>
    <row r="400" spans="1:7" ht="15" customHeight="1" x14ac:dyDescent="0.25">
      <c r="A400" s="270">
        <v>143410038</v>
      </c>
      <c r="B400" s="328">
        <v>434100</v>
      </c>
      <c r="C400" s="375" t="s">
        <v>480</v>
      </c>
      <c r="D400" s="170" t="s">
        <v>6</v>
      </c>
      <c r="E400" s="170" t="s">
        <v>105</v>
      </c>
      <c r="F400" s="264">
        <v>26990</v>
      </c>
    </row>
    <row r="401" spans="1:8" ht="15" customHeight="1" x14ac:dyDescent="0.25">
      <c r="A401" s="270">
        <v>143330038</v>
      </c>
      <c r="B401" s="328">
        <v>433300</v>
      </c>
      <c r="C401" s="375" t="s">
        <v>481</v>
      </c>
      <c r="D401" s="170" t="s">
        <v>6</v>
      </c>
      <c r="E401" s="170" t="s">
        <v>471</v>
      </c>
      <c r="F401" s="264">
        <v>25990</v>
      </c>
      <c r="G401" s="172"/>
    </row>
    <row r="402" spans="1:8" ht="15" customHeight="1" x14ac:dyDescent="0.25">
      <c r="A402" s="270">
        <v>143190038</v>
      </c>
      <c r="B402" s="328">
        <v>431900</v>
      </c>
      <c r="C402" s="375" t="s">
        <v>482</v>
      </c>
      <c r="D402" s="170" t="s">
        <v>10</v>
      </c>
      <c r="E402" s="170" t="s">
        <v>13</v>
      </c>
      <c r="F402" s="264">
        <v>26990</v>
      </c>
    </row>
    <row r="403" spans="1:8" ht="15" customHeight="1" x14ac:dyDescent="0.25">
      <c r="A403" s="292">
        <v>143230038</v>
      </c>
      <c r="B403" s="328">
        <v>432300</v>
      </c>
      <c r="C403" s="375" t="s">
        <v>483</v>
      </c>
      <c r="D403" s="46" t="s">
        <v>6</v>
      </c>
      <c r="E403" s="46" t="s">
        <v>13</v>
      </c>
      <c r="F403" s="264">
        <v>26990</v>
      </c>
    </row>
    <row r="404" spans="1:8" ht="15" customHeight="1" x14ac:dyDescent="0.25">
      <c r="A404" s="292">
        <v>143230138</v>
      </c>
      <c r="B404" s="328">
        <v>432301</v>
      </c>
      <c r="C404" s="375" t="s">
        <v>484</v>
      </c>
      <c r="D404" s="46" t="s">
        <v>6</v>
      </c>
      <c r="E404" s="46" t="s">
        <v>13</v>
      </c>
      <c r="F404" s="264">
        <v>27990</v>
      </c>
    </row>
    <row r="405" spans="1:8" ht="15" customHeight="1" x14ac:dyDescent="0.25">
      <c r="A405" s="292">
        <v>143090038</v>
      </c>
      <c r="B405" s="328">
        <v>430900</v>
      </c>
      <c r="C405" s="375" t="s">
        <v>485</v>
      </c>
      <c r="D405" s="46" t="s">
        <v>6</v>
      </c>
      <c r="E405" s="46" t="s">
        <v>13</v>
      </c>
      <c r="F405" s="264">
        <v>27990</v>
      </c>
      <c r="G405" s="46" t="s">
        <v>486</v>
      </c>
      <c r="H405" s="46" t="s">
        <v>487</v>
      </c>
    </row>
    <row r="406" spans="1:8" ht="15" customHeight="1" x14ac:dyDescent="0.25">
      <c r="A406" s="272">
        <v>143030038</v>
      </c>
      <c r="B406" s="328">
        <v>430300</v>
      </c>
      <c r="C406" s="375" t="s">
        <v>488</v>
      </c>
      <c r="D406" s="46" t="s">
        <v>6</v>
      </c>
      <c r="E406" s="46" t="s">
        <v>8</v>
      </c>
      <c r="F406" s="264">
        <v>26990</v>
      </c>
      <c r="G406" s="46" t="s">
        <v>486</v>
      </c>
      <c r="H406" s="46" t="s">
        <v>487</v>
      </c>
    </row>
    <row r="407" spans="1:8" ht="15" customHeight="1" x14ac:dyDescent="0.25">
      <c r="A407" s="292">
        <v>143290038</v>
      </c>
      <c r="B407" s="328">
        <v>432900</v>
      </c>
      <c r="C407" s="375" t="s">
        <v>489</v>
      </c>
      <c r="D407" s="46" t="s">
        <v>10</v>
      </c>
      <c r="E407" s="46" t="s">
        <v>8</v>
      </c>
      <c r="F407" s="264">
        <v>25990</v>
      </c>
    </row>
    <row r="408" spans="1:8" ht="15" customHeight="1" x14ac:dyDescent="0.25">
      <c r="A408" s="272">
        <v>143100038</v>
      </c>
      <c r="B408" s="328">
        <v>431000</v>
      </c>
      <c r="C408" s="375" t="s">
        <v>490</v>
      </c>
      <c r="D408" s="46" t="s">
        <v>6</v>
      </c>
      <c r="E408" s="46" t="s">
        <v>7</v>
      </c>
      <c r="F408" s="264">
        <v>24990</v>
      </c>
      <c r="G408" s="46" t="s">
        <v>486</v>
      </c>
      <c r="H408" s="46" t="s">
        <v>487</v>
      </c>
    </row>
    <row r="409" spans="1:8" ht="15" customHeight="1" x14ac:dyDescent="0.25">
      <c r="A409" s="272">
        <v>143070038</v>
      </c>
      <c r="B409" s="328">
        <v>430700</v>
      </c>
      <c r="C409" s="375" t="s">
        <v>491</v>
      </c>
      <c r="D409" s="46" t="s">
        <v>6</v>
      </c>
      <c r="E409" s="46" t="s">
        <v>471</v>
      </c>
      <c r="F409" s="264">
        <v>26990</v>
      </c>
    </row>
    <row r="410" spans="1:8" s="337" customFormat="1" ht="16.5" customHeight="1" x14ac:dyDescent="0.25">
      <c r="A410" s="339">
        <v>143610438</v>
      </c>
      <c r="B410" s="334">
        <v>436104</v>
      </c>
      <c r="C410" s="376" t="s">
        <v>492</v>
      </c>
      <c r="D410" s="338" t="s">
        <v>6</v>
      </c>
      <c r="E410" s="335" t="s">
        <v>13</v>
      </c>
      <c r="F410" s="336">
        <v>26990</v>
      </c>
    </row>
    <row r="411" spans="1:8" s="337" customFormat="1" ht="16.5" customHeight="1" x14ac:dyDescent="0.25">
      <c r="A411" s="339">
        <v>143616738</v>
      </c>
      <c r="B411" s="334">
        <v>436167</v>
      </c>
      <c r="C411" s="376" t="s">
        <v>493</v>
      </c>
      <c r="D411" s="338" t="s">
        <v>6</v>
      </c>
      <c r="E411" s="335" t="s">
        <v>13</v>
      </c>
      <c r="F411" s="336">
        <v>27990</v>
      </c>
    </row>
    <row r="412" spans="1:8" s="337" customFormat="1" ht="16.5" customHeight="1" x14ac:dyDescent="0.25">
      <c r="A412" s="339">
        <v>143610638</v>
      </c>
      <c r="B412" s="334">
        <v>436106</v>
      </c>
      <c r="C412" s="376" t="s">
        <v>494</v>
      </c>
      <c r="D412" s="338" t="s">
        <v>6</v>
      </c>
      <c r="E412" s="335" t="s">
        <v>13</v>
      </c>
      <c r="F412" s="336">
        <v>26990</v>
      </c>
    </row>
    <row r="413" spans="1:8" s="337" customFormat="1" ht="16.5" customHeight="1" x14ac:dyDescent="0.25">
      <c r="A413" s="339">
        <v>143610838</v>
      </c>
      <c r="B413" s="334">
        <v>436108</v>
      </c>
      <c r="C413" s="376" t="s">
        <v>495</v>
      </c>
      <c r="D413" s="338" t="s">
        <v>6</v>
      </c>
      <c r="E413" s="335" t="s">
        <v>13</v>
      </c>
      <c r="F413" s="336">
        <v>26990</v>
      </c>
    </row>
    <row r="414" spans="1:8" s="337" customFormat="1" ht="16.5" customHeight="1" x14ac:dyDescent="0.25">
      <c r="A414" s="339">
        <v>143611638</v>
      </c>
      <c r="B414" s="334">
        <v>436116</v>
      </c>
      <c r="C414" s="376" t="s">
        <v>496</v>
      </c>
      <c r="D414" s="338" t="s">
        <v>6</v>
      </c>
      <c r="E414" s="335" t="s">
        <v>13</v>
      </c>
      <c r="F414" s="336">
        <v>26990</v>
      </c>
    </row>
    <row r="415" spans="1:8" s="337" customFormat="1" ht="16.5" customHeight="1" x14ac:dyDescent="0.25">
      <c r="A415" s="339">
        <v>143614838</v>
      </c>
      <c r="B415" s="334">
        <v>436148</v>
      </c>
      <c r="C415" s="376" t="s">
        <v>497</v>
      </c>
      <c r="D415" s="338" t="s">
        <v>6</v>
      </c>
      <c r="E415" s="335" t="s">
        <v>13</v>
      </c>
      <c r="F415" s="336">
        <v>26990</v>
      </c>
    </row>
    <row r="416" spans="1:8" ht="16.5" customHeight="1" x14ac:dyDescent="0.25">
      <c r="A416" s="29">
        <v>143620438</v>
      </c>
      <c r="B416" s="328">
        <v>436204</v>
      </c>
      <c r="C416" s="375" t="s">
        <v>498</v>
      </c>
      <c r="D416" s="170" t="s">
        <v>6</v>
      </c>
      <c r="E416" s="14" t="s">
        <v>14</v>
      </c>
      <c r="F416" s="264">
        <v>25990</v>
      </c>
    </row>
    <row r="417" spans="1:8" ht="16.5" customHeight="1" x14ac:dyDescent="0.25">
      <c r="A417" s="29">
        <v>143620638</v>
      </c>
      <c r="B417" s="328">
        <v>436206</v>
      </c>
      <c r="C417" s="375" t="s">
        <v>499</v>
      </c>
      <c r="D417" s="170" t="s">
        <v>6</v>
      </c>
      <c r="E417" s="14" t="s">
        <v>14</v>
      </c>
      <c r="F417" s="264">
        <v>25990</v>
      </c>
    </row>
    <row r="418" spans="1:8" ht="16.5" customHeight="1" x14ac:dyDescent="0.25">
      <c r="A418" s="29">
        <v>143620838</v>
      </c>
      <c r="B418" s="328">
        <v>436208</v>
      </c>
      <c r="C418" s="375" t="s">
        <v>500</v>
      </c>
      <c r="D418" s="170" t="s">
        <v>6</v>
      </c>
      <c r="E418" s="14" t="s">
        <v>14</v>
      </c>
      <c r="F418" s="264">
        <v>25990</v>
      </c>
    </row>
    <row r="419" spans="1:8" ht="16.5" customHeight="1" x14ac:dyDescent="0.25">
      <c r="A419" s="29">
        <v>143621638</v>
      </c>
      <c r="B419" s="328">
        <v>436216</v>
      </c>
      <c r="C419" s="375" t="s">
        <v>501</v>
      </c>
      <c r="D419" s="170" t="s">
        <v>6</v>
      </c>
      <c r="E419" s="14" t="s">
        <v>14</v>
      </c>
      <c r="F419" s="264">
        <v>25990</v>
      </c>
    </row>
    <row r="420" spans="1:8" ht="16.5" customHeight="1" x14ac:dyDescent="0.25">
      <c r="A420" s="29">
        <v>143624838</v>
      </c>
      <c r="B420" s="328">
        <v>436248</v>
      </c>
      <c r="C420" s="375" t="s">
        <v>502</v>
      </c>
      <c r="D420" s="170" t="s">
        <v>6</v>
      </c>
      <c r="E420" s="14" t="s">
        <v>14</v>
      </c>
      <c r="F420" s="264">
        <v>25991</v>
      </c>
    </row>
    <row r="421" spans="1:8" ht="16.5" customHeight="1" x14ac:dyDescent="0.25">
      <c r="A421" s="29">
        <v>143660038</v>
      </c>
      <c r="B421" s="328">
        <v>436604</v>
      </c>
      <c r="C421" s="375" t="s">
        <v>503</v>
      </c>
      <c r="D421" s="14" t="s">
        <v>6</v>
      </c>
      <c r="E421" s="14" t="s">
        <v>9</v>
      </c>
      <c r="F421" s="264">
        <v>25990</v>
      </c>
    </row>
    <row r="422" spans="1:8" ht="16.5" customHeight="1" x14ac:dyDescent="0.25">
      <c r="A422" s="29">
        <v>143660038</v>
      </c>
      <c r="B422" s="328">
        <v>436606</v>
      </c>
      <c r="C422" s="375" t="s">
        <v>504</v>
      </c>
      <c r="D422" s="14" t="s">
        <v>6</v>
      </c>
      <c r="E422" s="14" t="s">
        <v>9</v>
      </c>
      <c r="F422" s="264">
        <v>25990</v>
      </c>
    </row>
    <row r="423" spans="1:8" ht="16.5" customHeight="1" x14ac:dyDescent="0.25">
      <c r="A423" s="29">
        <v>143660038</v>
      </c>
      <c r="B423" s="328">
        <v>436608</v>
      </c>
      <c r="C423" s="375" t="s">
        <v>505</v>
      </c>
      <c r="D423" s="14" t="s">
        <v>6</v>
      </c>
      <c r="E423" s="14" t="s">
        <v>9</v>
      </c>
      <c r="F423" s="264">
        <v>25990</v>
      </c>
    </row>
    <row r="424" spans="1:8" ht="16.5" customHeight="1" x14ac:dyDescent="0.25">
      <c r="A424" s="29">
        <v>143660038</v>
      </c>
      <c r="B424" s="328">
        <v>436616</v>
      </c>
      <c r="C424" s="375" t="s">
        <v>506</v>
      </c>
      <c r="D424" s="14" t="s">
        <v>6</v>
      </c>
      <c r="E424" s="14" t="s">
        <v>9</v>
      </c>
      <c r="F424" s="264">
        <v>25990</v>
      </c>
    </row>
    <row r="425" spans="1:8" ht="16.5" customHeight="1" x14ac:dyDescent="0.25">
      <c r="A425" s="29">
        <v>143660038</v>
      </c>
      <c r="B425" s="328">
        <v>436648</v>
      </c>
      <c r="C425" s="375" t="s">
        <v>507</v>
      </c>
      <c r="D425" s="14" t="s">
        <v>6</v>
      </c>
      <c r="E425" s="14" t="s">
        <v>9</v>
      </c>
      <c r="F425" s="264">
        <v>25990</v>
      </c>
    </row>
    <row r="426" spans="1:8" ht="16.5" customHeight="1" x14ac:dyDescent="0.25">
      <c r="A426" s="47">
        <v>143700138</v>
      </c>
      <c r="B426" s="328">
        <v>437001</v>
      </c>
      <c r="C426" s="375" t="s">
        <v>508</v>
      </c>
      <c r="D426" s="14" t="s">
        <v>6</v>
      </c>
      <c r="E426" s="14" t="s">
        <v>9</v>
      </c>
      <c r="F426" s="264">
        <v>26990</v>
      </c>
    </row>
    <row r="427" spans="1:8" ht="16.5" customHeight="1" x14ac:dyDescent="0.25">
      <c r="A427" s="47">
        <v>143700438</v>
      </c>
      <c r="B427" s="328">
        <v>437004</v>
      </c>
      <c r="C427" s="375" t="s">
        <v>509</v>
      </c>
      <c r="D427" s="14" t="s">
        <v>6</v>
      </c>
      <c r="E427" s="14" t="s">
        <v>9</v>
      </c>
      <c r="F427" s="264">
        <v>26990</v>
      </c>
    </row>
    <row r="428" spans="1:8" ht="16.5" customHeight="1" x14ac:dyDescent="0.25">
      <c r="A428" s="47">
        <v>143700038</v>
      </c>
      <c r="B428" s="328">
        <v>437000</v>
      </c>
      <c r="C428" s="375" t="s">
        <v>510</v>
      </c>
      <c r="D428" s="14" t="s">
        <v>6</v>
      </c>
      <c r="E428" s="340" t="s">
        <v>511</v>
      </c>
      <c r="F428" s="264">
        <v>26990</v>
      </c>
    </row>
    <row r="429" spans="1:8" ht="16.5" customHeight="1" x14ac:dyDescent="0.25">
      <c r="A429" s="47">
        <v>143700238</v>
      </c>
      <c r="B429" s="328">
        <v>437002</v>
      </c>
      <c r="C429" s="375" t="s">
        <v>512</v>
      </c>
      <c r="D429" s="14" t="s">
        <v>6</v>
      </c>
      <c r="E429" s="340" t="s">
        <v>511</v>
      </c>
      <c r="F429" s="264">
        <v>26990</v>
      </c>
    </row>
    <row r="430" spans="1:8" ht="15" customHeight="1" x14ac:dyDescent="0.25">
      <c r="A430" s="272">
        <v>143710038</v>
      </c>
      <c r="B430" s="328">
        <v>437100</v>
      </c>
      <c r="C430" s="375" t="s">
        <v>513</v>
      </c>
      <c r="D430" s="46" t="s">
        <v>6</v>
      </c>
      <c r="E430" s="46" t="s">
        <v>183</v>
      </c>
      <c r="F430" s="264">
        <v>25990</v>
      </c>
    </row>
    <row r="431" spans="1:8" ht="15" customHeight="1" x14ac:dyDescent="0.25">
      <c r="A431" s="272">
        <v>143770038</v>
      </c>
      <c r="B431" s="328">
        <v>437700</v>
      </c>
      <c r="C431" s="375" t="s">
        <v>514</v>
      </c>
      <c r="D431" s="46" t="s">
        <v>6</v>
      </c>
      <c r="E431" s="46" t="s">
        <v>183</v>
      </c>
      <c r="F431" s="264">
        <v>26990</v>
      </c>
      <c r="G431" s="329" t="s">
        <v>451</v>
      </c>
      <c r="H431" s="46" t="s">
        <v>515</v>
      </c>
    </row>
    <row r="432" spans="1:8" ht="15" customHeight="1" x14ac:dyDescent="0.25">
      <c r="A432" s="272">
        <v>143790038</v>
      </c>
      <c r="B432" s="328">
        <v>437900</v>
      </c>
      <c r="C432" s="375" t="s">
        <v>516</v>
      </c>
      <c r="D432" s="46" t="s">
        <v>6</v>
      </c>
      <c r="E432" s="46" t="s">
        <v>183</v>
      </c>
      <c r="F432" s="264">
        <v>25990</v>
      </c>
      <c r="G432" s="329" t="s">
        <v>451</v>
      </c>
      <c r="H432" s="46" t="s">
        <v>517</v>
      </c>
    </row>
    <row r="433" spans="1:8" ht="15" customHeight="1" x14ac:dyDescent="0.25">
      <c r="A433" s="272">
        <v>143780038</v>
      </c>
      <c r="B433" s="328">
        <v>437800</v>
      </c>
      <c r="C433" s="375" t="s">
        <v>518</v>
      </c>
      <c r="D433" s="46" t="s">
        <v>6</v>
      </c>
      <c r="E433" s="46" t="s">
        <v>9</v>
      </c>
      <c r="F433" s="264">
        <v>25990</v>
      </c>
      <c r="G433" s="329" t="s">
        <v>451</v>
      </c>
      <c r="H433" s="46" t="s">
        <v>519</v>
      </c>
    </row>
    <row r="434" spans="1:8" ht="15" customHeight="1" x14ac:dyDescent="0.25">
      <c r="A434" s="272">
        <v>143780138</v>
      </c>
      <c r="B434" s="328">
        <v>437801</v>
      </c>
      <c r="C434" s="375" t="s">
        <v>520</v>
      </c>
      <c r="D434" s="46" t="s">
        <v>6</v>
      </c>
      <c r="E434" s="46" t="s">
        <v>9</v>
      </c>
      <c r="F434" s="264">
        <v>25990</v>
      </c>
      <c r="G434" s="329"/>
    </row>
    <row r="435" spans="1:8" ht="15" customHeight="1" x14ac:dyDescent="0.25">
      <c r="A435" s="292">
        <v>143010038</v>
      </c>
      <c r="B435" s="328">
        <v>430100</v>
      </c>
      <c r="C435" s="375" t="s">
        <v>521</v>
      </c>
      <c r="D435" s="46" t="s">
        <v>10</v>
      </c>
      <c r="E435" s="46" t="s">
        <v>13</v>
      </c>
      <c r="F435" s="264">
        <v>25990</v>
      </c>
      <c r="G435" s="46" t="s">
        <v>486</v>
      </c>
      <c r="H435" s="46" t="s">
        <v>487</v>
      </c>
    </row>
    <row r="436" spans="1:8" ht="15" customHeight="1" x14ac:dyDescent="0.25">
      <c r="A436" s="294">
        <v>11111111</v>
      </c>
      <c r="B436" s="357">
        <f>MID(A436,2,6)</f>
        <v>111111</v>
      </c>
      <c r="C436" s="375" t="s">
        <v>521</v>
      </c>
    </row>
    <row r="437" spans="1:8" ht="15" customHeight="1" x14ac:dyDescent="0.25">
      <c r="A437" s="272"/>
      <c r="B437" s="362">
        <v>440100</v>
      </c>
      <c r="C437" s="367"/>
      <c r="D437" s="358" t="s">
        <v>141</v>
      </c>
      <c r="E437" s="358" t="s">
        <v>199</v>
      </c>
      <c r="F437" s="29"/>
    </row>
    <row r="438" spans="1:8" x14ac:dyDescent="0.3">
      <c r="B438" s="381">
        <v>440200</v>
      </c>
      <c r="C438" s="389" t="s">
        <v>522</v>
      </c>
      <c r="D438" s="383" t="s">
        <v>138</v>
      </c>
      <c r="E438" s="383" t="s">
        <v>523</v>
      </c>
      <c r="F438" s="384">
        <v>26990</v>
      </c>
    </row>
    <row r="439" spans="1:8" x14ac:dyDescent="0.3">
      <c r="B439" s="362">
        <v>440300</v>
      </c>
      <c r="C439" s="367"/>
      <c r="D439" s="358" t="s">
        <v>141</v>
      </c>
      <c r="E439" s="358" t="s">
        <v>186</v>
      </c>
      <c r="F439" s="29"/>
    </row>
    <row r="440" spans="1:8" x14ac:dyDescent="0.3">
      <c r="B440" s="362">
        <v>440400</v>
      </c>
      <c r="C440" s="367"/>
      <c r="D440" s="358" t="s">
        <v>141</v>
      </c>
      <c r="E440" s="358" t="s">
        <v>183</v>
      </c>
      <c r="F440" s="29"/>
    </row>
    <row r="441" spans="1:8" x14ac:dyDescent="0.3">
      <c r="B441" s="362">
        <v>440500</v>
      </c>
      <c r="C441" s="367"/>
      <c r="D441" s="358" t="s">
        <v>138</v>
      </c>
      <c r="E441" s="358" t="s">
        <v>264</v>
      </c>
      <c r="F441" s="29"/>
    </row>
    <row r="442" spans="1:8" x14ac:dyDescent="0.3">
      <c r="B442" s="362">
        <v>440600</v>
      </c>
      <c r="C442" s="367" t="s">
        <v>524</v>
      </c>
      <c r="D442" s="358" t="s">
        <v>141</v>
      </c>
      <c r="E442" s="358" t="s">
        <v>199</v>
      </c>
      <c r="F442" s="29">
        <v>24990</v>
      </c>
    </row>
    <row r="443" spans="1:8" x14ac:dyDescent="0.3">
      <c r="B443" s="397">
        <v>440700</v>
      </c>
      <c r="C443" s="382" t="s">
        <v>525</v>
      </c>
      <c r="D443" s="383" t="s">
        <v>138</v>
      </c>
      <c r="E443" s="383" t="s">
        <v>183</v>
      </c>
      <c r="F443" s="384">
        <v>26990</v>
      </c>
    </row>
    <row r="444" spans="1:8" x14ac:dyDescent="0.3">
      <c r="B444" s="362">
        <v>440800</v>
      </c>
      <c r="C444" s="171"/>
      <c r="D444" s="358" t="s">
        <v>141</v>
      </c>
      <c r="E444" s="358" t="s">
        <v>183</v>
      </c>
      <c r="F444" s="29"/>
    </row>
    <row r="445" spans="1:8" x14ac:dyDescent="0.3">
      <c r="B445" s="362">
        <v>440900</v>
      </c>
      <c r="C445" s="171"/>
      <c r="D445" s="358" t="s">
        <v>141</v>
      </c>
      <c r="E445" s="358" t="s">
        <v>183</v>
      </c>
      <c r="F445" s="29"/>
    </row>
    <row r="446" spans="1:8" x14ac:dyDescent="0.3">
      <c r="B446" s="362">
        <v>441000</v>
      </c>
      <c r="C446" s="171"/>
      <c r="D446" s="358" t="s">
        <v>191</v>
      </c>
      <c r="E446" s="358" t="s">
        <v>41</v>
      </c>
      <c r="F446" s="29"/>
    </row>
    <row r="447" spans="1:8" x14ac:dyDescent="0.3">
      <c r="B447" s="362">
        <v>441100</v>
      </c>
      <c r="C447" s="171"/>
      <c r="D447" s="358" t="s">
        <v>141</v>
      </c>
      <c r="E447" s="358" t="s">
        <v>183</v>
      </c>
      <c r="F447" s="29"/>
    </row>
    <row r="448" spans="1:8" x14ac:dyDescent="0.3">
      <c r="B448" s="397">
        <v>441200</v>
      </c>
      <c r="C448" s="382" t="s">
        <v>526</v>
      </c>
      <c r="D448" s="388" t="s">
        <v>141</v>
      </c>
      <c r="E448" s="388" t="s">
        <v>527</v>
      </c>
      <c r="F448" s="384">
        <v>26990</v>
      </c>
    </row>
    <row r="449" spans="2:6" x14ac:dyDescent="0.3">
      <c r="B449" s="381">
        <v>441300</v>
      </c>
      <c r="C449" s="382" t="s">
        <v>528</v>
      </c>
      <c r="D449" s="383" t="s">
        <v>138</v>
      </c>
      <c r="E449" s="383" t="s">
        <v>199</v>
      </c>
      <c r="F449" s="384">
        <v>24990</v>
      </c>
    </row>
    <row r="450" spans="2:6" x14ac:dyDescent="0.3">
      <c r="B450" s="381">
        <v>441400</v>
      </c>
      <c r="C450" s="382" t="s">
        <v>529</v>
      </c>
      <c r="D450" s="383" t="s">
        <v>138</v>
      </c>
      <c r="E450" s="383" t="s">
        <v>186</v>
      </c>
      <c r="F450" s="384">
        <v>25990</v>
      </c>
    </row>
    <row r="451" spans="2:6" x14ac:dyDescent="0.3">
      <c r="B451" s="381">
        <v>441401</v>
      </c>
      <c r="C451" s="382" t="s">
        <v>531</v>
      </c>
      <c r="D451" s="383" t="s">
        <v>138</v>
      </c>
      <c r="E451" s="383" t="s">
        <v>186</v>
      </c>
      <c r="F451" s="384">
        <v>25990</v>
      </c>
    </row>
    <row r="452" spans="2:6" x14ac:dyDescent="0.3">
      <c r="B452" s="362">
        <v>441500</v>
      </c>
      <c r="C452" s="171" t="s">
        <v>2212</v>
      </c>
      <c r="D452" s="358"/>
      <c r="E452" s="358"/>
      <c r="F452" s="29">
        <v>29990</v>
      </c>
    </row>
    <row r="453" spans="2:6" x14ac:dyDescent="0.3">
      <c r="B453" s="362">
        <v>441501</v>
      </c>
      <c r="C453" s="171" t="s">
        <v>2211</v>
      </c>
      <c r="D453" s="358"/>
      <c r="E453" s="358"/>
      <c r="F453" s="29">
        <v>29990</v>
      </c>
    </row>
    <row r="454" spans="2:6" x14ac:dyDescent="0.3">
      <c r="B454" s="397">
        <v>441600</v>
      </c>
      <c r="C454" s="382" t="s">
        <v>532</v>
      </c>
      <c r="D454" s="383" t="s">
        <v>138</v>
      </c>
      <c r="E454" s="383" t="s">
        <v>41</v>
      </c>
      <c r="F454" s="384">
        <v>26990</v>
      </c>
    </row>
    <row r="455" spans="2:6" x14ac:dyDescent="0.3">
      <c r="B455" s="397">
        <v>441700</v>
      </c>
      <c r="C455" s="382" t="s">
        <v>533</v>
      </c>
      <c r="D455" s="383" t="s">
        <v>241</v>
      </c>
      <c r="E455" s="383" t="s">
        <v>105</v>
      </c>
      <c r="F455" s="384">
        <v>26990</v>
      </c>
    </row>
    <row r="456" spans="2:6" x14ac:dyDescent="0.3">
      <c r="B456" s="397">
        <v>441701</v>
      </c>
      <c r="C456" s="382" t="s">
        <v>533</v>
      </c>
      <c r="D456" s="383" t="s">
        <v>241</v>
      </c>
      <c r="E456" s="383" t="s">
        <v>105</v>
      </c>
      <c r="F456" s="384">
        <v>26990</v>
      </c>
    </row>
    <row r="457" spans="2:6" x14ac:dyDescent="0.3">
      <c r="B457" s="397">
        <v>441800</v>
      </c>
      <c r="C457" s="382" t="s">
        <v>534</v>
      </c>
      <c r="D457" s="383" t="s">
        <v>138</v>
      </c>
      <c r="E457" s="383" t="s">
        <v>183</v>
      </c>
      <c r="F457" s="384">
        <v>26990</v>
      </c>
    </row>
    <row r="458" spans="2:6" x14ac:dyDescent="0.3">
      <c r="B458" s="397">
        <v>441900</v>
      </c>
      <c r="C458" s="382" t="s">
        <v>536</v>
      </c>
      <c r="D458" s="383" t="s">
        <v>138</v>
      </c>
      <c r="E458" s="383" t="s">
        <v>199</v>
      </c>
      <c r="F458" s="384">
        <v>26990</v>
      </c>
    </row>
    <row r="459" spans="2:6" x14ac:dyDescent="0.3">
      <c r="B459" s="397">
        <v>441901</v>
      </c>
      <c r="C459" s="382" t="s">
        <v>538</v>
      </c>
      <c r="D459" s="383" t="s">
        <v>138</v>
      </c>
      <c r="E459" s="383" t="s">
        <v>199</v>
      </c>
      <c r="F459" s="384">
        <v>26990</v>
      </c>
    </row>
    <row r="460" spans="2:6" x14ac:dyDescent="0.3">
      <c r="B460" s="362">
        <v>442000</v>
      </c>
      <c r="C460" s="378" t="s">
        <v>539</v>
      </c>
      <c r="D460" s="383" t="s">
        <v>138</v>
      </c>
      <c r="E460" s="383" t="s">
        <v>41</v>
      </c>
      <c r="F460" s="384"/>
    </row>
    <row r="461" spans="2:6" x14ac:dyDescent="0.3">
      <c r="B461" s="381">
        <v>442100</v>
      </c>
      <c r="C461" s="382" t="s">
        <v>540</v>
      </c>
      <c r="D461" s="383" t="s">
        <v>138</v>
      </c>
      <c r="E461" s="383" t="s">
        <v>183</v>
      </c>
      <c r="F461" s="384">
        <v>26990</v>
      </c>
    </row>
    <row r="462" spans="2:6" x14ac:dyDescent="0.3">
      <c r="B462" s="381">
        <v>442200</v>
      </c>
      <c r="C462" s="382" t="s">
        <v>542</v>
      </c>
      <c r="D462" s="383" t="s">
        <v>141</v>
      </c>
      <c r="E462" s="383" t="s">
        <v>543</v>
      </c>
      <c r="F462" s="384">
        <v>24990</v>
      </c>
    </row>
    <row r="463" spans="2:6" x14ac:dyDescent="0.3">
      <c r="B463" s="381">
        <v>442204</v>
      </c>
      <c r="C463" s="382" t="s">
        <v>545</v>
      </c>
      <c r="D463" s="383" t="s">
        <v>141</v>
      </c>
      <c r="E463" s="383" t="s">
        <v>543</v>
      </c>
      <c r="F463" s="384">
        <v>24990</v>
      </c>
    </row>
    <row r="464" spans="2:6" x14ac:dyDescent="0.3">
      <c r="B464" s="381">
        <v>442206</v>
      </c>
      <c r="C464" s="382" t="s">
        <v>547</v>
      </c>
      <c r="D464" s="383" t="s">
        <v>141</v>
      </c>
      <c r="E464" s="383" t="s">
        <v>543</v>
      </c>
      <c r="F464" s="384">
        <v>24990</v>
      </c>
    </row>
    <row r="465" spans="2:6" x14ac:dyDescent="0.3">
      <c r="B465" s="381">
        <v>442238</v>
      </c>
      <c r="C465" s="382" t="s">
        <v>549</v>
      </c>
      <c r="D465" s="383" t="s">
        <v>141</v>
      </c>
      <c r="E465" s="383" t="s">
        <v>543</v>
      </c>
      <c r="F465" s="384">
        <v>24990</v>
      </c>
    </row>
    <row r="466" spans="2:6" x14ac:dyDescent="0.3">
      <c r="B466" s="362">
        <v>442300</v>
      </c>
      <c r="C466" s="171"/>
      <c r="D466" s="358" t="s">
        <v>138</v>
      </c>
      <c r="E466" s="358" t="s">
        <v>199</v>
      </c>
      <c r="F466" s="29"/>
    </row>
    <row r="467" spans="2:6" x14ac:dyDescent="0.3">
      <c r="B467" s="362">
        <v>442400</v>
      </c>
      <c r="C467" s="171"/>
      <c r="D467" s="358" t="s">
        <v>138</v>
      </c>
      <c r="E467" s="358" t="s">
        <v>183</v>
      </c>
      <c r="F467" s="29"/>
    </row>
    <row r="468" spans="2:6" x14ac:dyDescent="0.3">
      <c r="B468" s="362">
        <v>442500</v>
      </c>
      <c r="C468" s="171"/>
      <c r="D468" s="358" t="s">
        <v>138</v>
      </c>
      <c r="E468" s="358" t="s">
        <v>550</v>
      </c>
      <c r="F468" s="29"/>
    </row>
    <row r="469" spans="2:6" x14ac:dyDescent="0.3">
      <c r="B469" s="381">
        <v>442600</v>
      </c>
      <c r="C469" s="393" t="s">
        <v>551</v>
      </c>
      <c r="D469" s="383" t="s">
        <v>138</v>
      </c>
      <c r="E469" s="383" t="s">
        <v>41</v>
      </c>
      <c r="F469" s="384">
        <v>26990</v>
      </c>
    </row>
    <row r="470" spans="2:6" x14ac:dyDescent="0.3">
      <c r="B470" s="381">
        <v>442601</v>
      </c>
      <c r="C470" s="393" t="s">
        <v>2218</v>
      </c>
      <c r="D470" s="383" t="s">
        <v>138</v>
      </c>
      <c r="E470" s="383" t="s">
        <v>41</v>
      </c>
      <c r="F470" s="384">
        <v>26990</v>
      </c>
    </row>
    <row r="471" spans="2:6" x14ac:dyDescent="0.3">
      <c r="B471" s="362">
        <v>442700</v>
      </c>
      <c r="C471" s="171"/>
      <c r="D471" s="358" t="s">
        <v>138</v>
      </c>
      <c r="E471" s="358" t="s">
        <v>41</v>
      </c>
      <c r="F471" s="29"/>
    </row>
    <row r="472" spans="2:6" x14ac:dyDescent="0.3">
      <c r="B472" s="362">
        <v>442800</v>
      </c>
      <c r="C472" s="171"/>
      <c r="D472" s="358" t="s">
        <v>138</v>
      </c>
      <c r="E472" s="358" t="s">
        <v>183</v>
      </c>
      <c r="F472" s="29"/>
    </row>
    <row r="473" spans="2:6" x14ac:dyDescent="0.3">
      <c r="B473" s="362">
        <v>442909</v>
      </c>
      <c r="C473" s="171" t="s">
        <v>2194</v>
      </c>
      <c r="D473" s="358" t="s">
        <v>138</v>
      </c>
      <c r="E473" s="358" t="s">
        <v>199</v>
      </c>
      <c r="F473" s="29">
        <v>24990</v>
      </c>
    </row>
    <row r="474" spans="2:6" x14ac:dyDescent="0.3">
      <c r="B474" s="362">
        <v>442904</v>
      </c>
      <c r="C474" s="171" t="s">
        <v>2196</v>
      </c>
      <c r="D474" s="358" t="s">
        <v>138</v>
      </c>
      <c r="E474" s="358" t="s">
        <v>199</v>
      </c>
      <c r="F474" s="29">
        <v>24990</v>
      </c>
    </row>
    <row r="475" spans="2:6" x14ac:dyDescent="0.3">
      <c r="B475" s="362">
        <v>442906</v>
      </c>
      <c r="C475" s="171" t="s">
        <v>2198</v>
      </c>
      <c r="D475" s="358" t="s">
        <v>138</v>
      </c>
      <c r="E475" s="358" t="s">
        <v>199</v>
      </c>
      <c r="F475" s="29">
        <v>24990</v>
      </c>
    </row>
    <row r="476" spans="2:6" x14ac:dyDescent="0.3">
      <c r="B476" s="362">
        <v>442924</v>
      </c>
      <c r="C476" s="171" t="s">
        <v>2200</v>
      </c>
      <c r="D476" s="358" t="s">
        <v>138</v>
      </c>
      <c r="E476" s="358" t="s">
        <v>199</v>
      </c>
      <c r="F476" s="29">
        <v>24990</v>
      </c>
    </row>
    <row r="477" spans="2:6" x14ac:dyDescent="0.3">
      <c r="B477" s="362">
        <v>442938</v>
      </c>
      <c r="C477" s="171" t="s">
        <v>2202</v>
      </c>
      <c r="D477" s="358" t="s">
        <v>138</v>
      </c>
      <c r="E477" s="358" t="s">
        <v>199</v>
      </c>
      <c r="F477" s="29">
        <v>24990</v>
      </c>
    </row>
    <row r="478" spans="2:6" x14ac:dyDescent="0.3">
      <c r="B478" s="362"/>
      <c r="C478" s="171"/>
      <c r="D478" s="358"/>
      <c r="E478" s="358"/>
      <c r="F478" s="29"/>
    </row>
    <row r="479" spans="2:6" x14ac:dyDescent="0.3">
      <c r="B479" s="397">
        <v>443000</v>
      </c>
      <c r="C479" s="171" t="s">
        <v>552</v>
      </c>
      <c r="D479" s="358" t="s">
        <v>138</v>
      </c>
      <c r="E479" s="358" t="s">
        <v>523</v>
      </c>
      <c r="F479" s="29">
        <v>25990</v>
      </c>
    </row>
    <row r="480" spans="2:6" x14ac:dyDescent="0.3">
      <c r="B480" s="397">
        <v>443100</v>
      </c>
      <c r="C480" s="382" t="s">
        <v>554</v>
      </c>
      <c r="D480" s="383" t="s">
        <v>138</v>
      </c>
      <c r="E480" s="383" t="s">
        <v>41</v>
      </c>
      <c r="F480" s="384">
        <v>25990</v>
      </c>
    </row>
    <row r="481" spans="1:7" x14ac:dyDescent="0.3">
      <c r="B481" s="397">
        <v>443101</v>
      </c>
      <c r="C481" s="386" t="s">
        <v>556</v>
      </c>
      <c r="D481" s="383" t="s">
        <v>138</v>
      </c>
      <c r="E481" s="383" t="s">
        <v>41</v>
      </c>
      <c r="F481" s="384">
        <v>25990</v>
      </c>
    </row>
    <row r="482" spans="1:7" x14ac:dyDescent="0.3">
      <c r="B482" s="381">
        <v>443200</v>
      </c>
      <c r="C482" s="382" t="s">
        <v>557</v>
      </c>
      <c r="D482" s="383" t="s">
        <v>138</v>
      </c>
      <c r="E482" s="383" t="s">
        <v>199</v>
      </c>
      <c r="F482" s="384">
        <v>24990</v>
      </c>
    </row>
    <row r="483" spans="1:7" x14ac:dyDescent="0.3">
      <c r="B483" s="362">
        <v>443300</v>
      </c>
      <c r="C483" s="171" t="s">
        <v>558</v>
      </c>
      <c r="D483" s="358" t="s">
        <v>138</v>
      </c>
      <c r="E483" s="358" t="s">
        <v>199</v>
      </c>
      <c r="F483" s="29"/>
    </row>
    <row r="484" spans="1:7" x14ac:dyDescent="0.3">
      <c r="A484" s="221" t="s">
        <v>559</v>
      </c>
      <c r="B484" s="397">
        <v>443400</v>
      </c>
      <c r="C484" s="386" t="s">
        <v>560</v>
      </c>
      <c r="D484" s="383" t="s">
        <v>191</v>
      </c>
      <c r="E484" s="383" t="s">
        <v>264</v>
      </c>
      <c r="F484" s="384">
        <v>25990</v>
      </c>
    </row>
    <row r="485" spans="1:7" x14ac:dyDescent="0.3">
      <c r="B485" s="381">
        <v>443500</v>
      </c>
      <c r="C485" s="393" t="s">
        <v>561</v>
      </c>
      <c r="D485" s="383" t="s">
        <v>141</v>
      </c>
      <c r="E485" s="383" t="s">
        <v>192</v>
      </c>
      <c r="F485" s="384">
        <v>24990</v>
      </c>
    </row>
    <row r="486" spans="1:7" x14ac:dyDescent="0.3">
      <c r="B486" s="362">
        <v>443600</v>
      </c>
      <c r="C486" s="171"/>
      <c r="D486" s="358" t="s">
        <v>141</v>
      </c>
      <c r="E486" s="358" t="s">
        <v>105</v>
      </c>
      <c r="F486" s="29"/>
    </row>
    <row r="487" spans="1:7" x14ac:dyDescent="0.3">
      <c r="B487" s="362">
        <v>443700</v>
      </c>
      <c r="C487" s="171" t="s">
        <v>562</v>
      </c>
      <c r="D487" s="358" t="s">
        <v>138</v>
      </c>
      <c r="E487" s="358" t="s">
        <v>199</v>
      </c>
      <c r="F487" s="29"/>
    </row>
    <row r="488" spans="1:7" x14ac:dyDescent="0.3">
      <c r="B488" s="362">
        <v>443800</v>
      </c>
      <c r="C488" s="171" t="s">
        <v>2215</v>
      </c>
      <c r="D488" s="358"/>
      <c r="E488" s="358"/>
      <c r="F488" s="29">
        <v>27990</v>
      </c>
    </row>
    <row r="489" spans="1:7" x14ac:dyDescent="0.3">
      <c r="B489" s="362">
        <v>443900</v>
      </c>
      <c r="C489" s="171" t="s">
        <v>564</v>
      </c>
      <c r="D489" s="360" t="s">
        <v>241</v>
      </c>
      <c r="E489" s="360" t="s">
        <v>105</v>
      </c>
      <c r="F489" s="29"/>
      <c r="G489" s="364" t="s">
        <v>191</v>
      </c>
    </row>
    <row r="490" spans="1:7" x14ac:dyDescent="0.3">
      <c r="B490" s="381">
        <v>444000</v>
      </c>
      <c r="C490" s="382" t="s">
        <v>565</v>
      </c>
      <c r="D490" s="385" t="s">
        <v>141</v>
      </c>
      <c r="E490" s="385" t="s">
        <v>186</v>
      </c>
      <c r="F490" s="384">
        <v>25990</v>
      </c>
    </row>
    <row r="491" spans="1:7" x14ac:dyDescent="0.3">
      <c r="B491" s="397">
        <v>444100</v>
      </c>
      <c r="C491" s="394" t="s">
        <v>566</v>
      </c>
      <c r="D491" s="383" t="s">
        <v>141</v>
      </c>
      <c r="E491" s="383" t="s">
        <v>199</v>
      </c>
      <c r="F491" s="384">
        <v>24990</v>
      </c>
    </row>
    <row r="492" spans="1:7" x14ac:dyDescent="0.3">
      <c r="B492" s="381">
        <v>444200</v>
      </c>
      <c r="C492" s="382" t="s">
        <v>567</v>
      </c>
      <c r="D492" s="383" t="s">
        <v>138</v>
      </c>
      <c r="E492" s="383" t="s">
        <v>568</v>
      </c>
      <c r="F492" s="384">
        <v>25990</v>
      </c>
    </row>
    <row r="493" spans="1:7" x14ac:dyDescent="0.3">
      <c r="B493" s="381">
        <v>444300</v>
      </c>
      <c r="C493" s="382" t="s">
        <v>569</v>
      </c>
      <c r="D493" s="383" t="s">
        <v>138</v>
      </c>
      <c r="E493" s="383" t="s">
        <v>186</v>
      </c>
      <c r="F493" s="384">
        <v>25990</v>
      </c>
    </row>
    <row r="494" spans="1:7" x14ac:dyDescent="0.3">
      <c r="B494" s="381">
        <v>444400</v>
      </c>
      <c r="C494" s="382" t="s">
        <v>570</v>
      </c>
      <c r="D494" s="383" t="s">
        <v>141</v>
      </c>
      <c r="E494" s="383" t="s">
        <v>264</v>
      </c>
      <c r="F494" s="384">
        <v>25990</v>
      </c>
    </row>
    <row r="495" spans="1:7" x14ac:dyDescent="0.3">
      <c r="B495" s="362">
        <v>444500</v>
      </c>
      <c r="C495" s="171"/>
      <c r="D495" s="358" t="s">
        <v>138</v>
      </c>
      <c r="E495" s="358" t="s">
        <v>523</v>
      </c>
      <c r="F495" s="29"/>
    </row>
    <row r="496" spans="1:7" x14ac:dyDescent="0.3">
      <c r="B496" s="362">
        <v>444600</v>
      </c>
      <c r="C496" s="171"/>
      <c r="D496" s="358" t="s">
        <v>191</v>
      </c>
      <c r="E496" s="358" t="s">
        <v>264</v>
      </c>
      <c r="F496" s="29"/>
    </row>
    <row r="497" spans="1:7" x14ac:dyDescent="0.3">
      <c r="B497" s="362">
        <v>444700</v>
      </c>
      <c r="C497" s="171"/>
      <c r="D497" s="358" t="s">
        <v>138</v>
      </c>
      <c r="E497" s="358" t="s">
        <v>105</v>
      </c>
      <c r="F497" s="29"/>
    </row>
    <row r="498" spans="1:7" x14ac:dyDescent="0.3">
      <c r="B498" s="381">
        <v>444800</v>
      </c>
      <c r="C498" s="382" t="s">
        <v>571</v>
      </c>
      <c r="D498" s="383" t="s">
        <v>294</v>
      </c>
      <c r="E498" s="383" t="s">
        <v>105</v>
      </c>
      <c r="F498" s="384">
        <v>25990</v>
      </c>
    </row>
    <row r="499" spans="1:7" x14ac:dyDescent="0.3">
      <c r="B499" s="362">
        <v>444890</v>
      </c>
      <c r="C499" s="378" t="s">
        <v>573</v>
      </c>
      <c r="D499" s="358"/>
      <c r="E499" s="358"/>
      <c r="F499" s="29">
        <v>26990</v>
      </c>
    </row>
    <row r="500" spans="1:7" x14ac:dyDescent="0.3">
      <c r="B500" s="362">
        <v>444900</v>
      </c>
      <c r="C500" s="171"/>
      <c r="D500" s="358" t="s">
        <v>138</v>
      </c>
      <c r="E500" s="358" t="s">
        <v>199</v>
      </c>
      <c r="F500" s="29"/>
    </row>
    <row r="501" spans="1:7" x14ac:dyDescent="0.3">
      <c r="B501" s="362">
        <v>445000</v>
      </c>
      <c r="C501" s="171"/>
      <c r="D501" s="358" t="s">
        <v>138</v>
      </c>
      <c r="E501" s="358" t="s">
        <v>199</v>
      </c>
      <c r="F501" s="29"/>
    </row>
    <row r="502" spans="1:7" x14ac:dyDescent="0.3">
      <c r="B502" s="362">
        <v>445100</v>
      </c>
      <c r="C502" s="171"/>
      <c r="D502" s="361" t="s">
        <v>138</v>
      </c>
      <c r="E502" s="361" t="s">
        <v>105</v>
      </c>
      <c r="F502" s="29"/>
    </row>
    <row r="503" spans="1:7" x14ac:dyDescent="0.3">
      <c r="B503" s="362">
        <v>445200</v>
      </c>
      <c r="C503" s="171"/>
      <c r="D503" s="358" t="s">
        <v>138</v>
      </c>
      <c r="E503" s="358" t="s">
        <v>41</v>
      </c>
      <c r="F503" s="29"/>
    </row>
    <row r="504" spans="1:7" x14ac:dyDescent="0.3">
      <c r="B504" s="381">
        <v>445300</v>
      </c>
      <c r="C504" s="382" t="s">
        <v>574</v>
      </c>
      <c r="D504" s="390" t="s">
        <v>138</v>
      </c>
      <c r="E504" s="390" t="s">
        <v>575</v>
      </c>
      <c r="F504" s="384">
        <v>25990</v>
      </c>
      <c r="G504" s="379"/>
    </row>
    <row r="505" spans="1:7" x14ac:dyDescent="0.3">
      <c r="B505" s="397">
        <v>445400</v>
      </c>
      <c r="C505" s="382" t="s">
        <v>576</v>
      </c>
      <c r="D505" s="383" t="s">
        <v>138</v>
      </c>
      <c r="E505" s="383" t="s">
        <v>105</v>
      </c>
      <c r="F505" s="384">
        <v>25990</v>
      </c>
    </row>
    <row r="506" spans="1:7" x14ac:dyDescent="0.3">
      <c r="A506" s="221" t="s">
        <v>2188</v>
      </c>
      <c r="B506" s="397">
        <v>445500</v>
      </c>
      <c r="C506" s="382" t="s">
        <v>577</v>
      </c>
      <c r="D506" s="383" t="s">
        <v>141</v>
      </c>
      <c r="E506" s="383" t="s">
        <v>183</v>
      </c>
      <c r="F506" s="384">
        <v>26990</v>
      </c>
    </row>
    <row r="507" spans="1:7" x14ac:dyDescent="0.3">
      <c r="A507" s="221" t="s">
        <v>211</v>
      </c>
      <c r="B507" s="381">
        <v>445660</v>
      </c>
      <c r="C507" s="386" t="s">
        <v>2222</v>
      </c>
      <c r="D507" s="381" t="s">
        <v>141</v>
      </c>
      <c r="E507" s="381" t="s">
        <v>41</v>
      </c>
      <c r="F507" s="384">
        <v>26990</v>
      </c>
    </row>
    <row r="508" spans="1:7" x14ac:dyDescent="0.3">
      <c r="B508" s="381">
        <v>445600</v>
      </c>
      <c r="C508" s="386" t="s">
        <v>2222</v>
      </c>
      <c r="D508" s="381" t="s">
        <v>141</v>
      </c>
      <c r="E508" s="381" t="s">
        <v>41</v>
      </c>
      <c r="F508" s="384">
        <v>26990</v>
      </c>
    </row>
    <row r="509" spans="1:7" x14ac:dyDescent="0.3">
      <c r="B509" s="381">
        <v>445700</v>
      </c>
      <c r="C509" s="382" t="s">
        <v>579</v>
      </c>
      <c r="D509" s="383" t="s">
        <v>141</v>
      </c>
      <c r="E509" s="383" t="s">
        <v>41</v>
      </c>
      <c r="F509" s="384">
        <v>26990</v>
      </c>
    </row>
    <row r="510" spans="1:7" x14ac:dyDescent="0.3">
      <c r="B510" s="381">
        <v>445738</v>
      </c>
      <c r="C510" s="382" t="s">
        <v>581</v>
      </c>
      <c r="D510" s="383" t="s">
        <v>141</v>
      </c>
      <c r="E510" s="383" t="s">
        <v>41</v>
      </c>
      <c r="F510" s="384">
        <v>26990</v>
      </c>
    </row>
    <row r="511" spans="1:7" x14ac:dyDescent="0.3">
      <c r="B511" s="381">
        <v>445706</v>
      </c>
      <c r="C511" s="382" t="s">
        <v>583</v>
      </c>
      <c r="D511" s="383" t="s">
        <v>141</v>
      </c>
      <c r="E511" s="383" t="s">
        <v>41</v>
      </c>
      <c r="F511" s="384">
        <v>26990</v>
      </c>
    </row>
    <row r="512" spans="1:7" x14ac:dyDescent="0.3">
      <c r="B512" s="381">
        <v>445704</v>
      </c>
      <c r="C512" s="382" t="s">
        <v>585</v>
      </c>
      <c r="D512" s="383" t="s">
        <v>141</v>
      </c>
      <c r="E512" s="383" t="s">
        <v>41</v>
      </c>
      <c r="F512" s="384">
        <v>26990</v>
      </c>
    </row>
    <row r="513" spans="2:6" x14ac:dyDescent="0.3">
      <c r="B513" s="381">
        <v>445724</v>
      </c>
      <c r="C513" s="382" t="s">
        <v>2204</v>
      </c>
      <c r="D513" s="383" t="s">
        <v>141</v>
      </c>
      <c r="E513" s="383" t="s">
        <v>41</v>
      </c>
      <c r="F513" s="384">
        <v>26990</v>
      </c>
    </row>
    <row r="514" spans="2:6" x14ac:dyDescent="0.3">
      <c r="B514" s="381">
        <v>445800</v>
      </c>
      <c r="C514" s="382" t="s">
        <v>586</v>
      </c>
      <c r="D514" s="383" t="s">
        <v>138</v>
      </c>
      <c r="E514" s="383" t="s">
        <v>587</v>
      </c>
      <c r="F514" s="384">
        <v>25990</v>
      </c>
    </row>
    <row r="515" spans="2:6" x14ac:dyDescent="0.3">
      <c r="B515" s="362"/>
      <c r="C515" s="171"/>
      <c r="D515" s="358"/>
      <c r="E515" s="358"/>
      <c r="F515" s="29"/>
    </row>
    <row r="516" spans="2:6" x14ac:dyDescent="0.3">
      <c r="B516" s="362"/>
      <c r="C516" s="171"/>
      <c r="D516" s="358"/>
      <c r="E516" s="358"/>
      <c r="F516" s="29"/>
    </row>
    <row r="517" spans="2:6" x14ac:dyDescent="0.3">
      <c r="B517" s="362">
        <v>445800</v>
      </c>
      <c r="C517" s="171" t="s">
        <v>588</v>
      </c>
      <c r="D517" s="358" t="s">
        <v>191</v>
      </c>
      <c r="E517" s="358" t="s">
        <v>587</v>
      </c>
      <c r="F517" s="29">
        <v>25990</v>
      </c>
    </row>
    <row r="518" spans="2:6" x14ac:dyDescent="0.3">
      <c r="B518" s="381">
        <v>445900</v>
      </c>
      <c r="C518" s="382" t="s">
        <v>589</v>
      </c>
      <c r="D518" s="383" t="s">
        <v>590</v>
      </c>
      <c r="E518" s="383" t="s">
        <v>192</v>
      </c>
      <c r="F518" s="384">
        <v>25990</v>
      </c>
    </row>
    <row r="519" spans="2:6" x14ac:dyDescent="0.3">
      <c r="B519" s="362">
        <v>446000</v>
      </c>
      <c r="C519" s="171" t="s">
        <v>591</v>
      </c>
      <c r="D519" s="358" t="s">
        <v>141</v>
      </c>
      <c r="E519" s="358" t="s">
        <v>264</v>
      </c>
      <c r="F519" s="29">
        <v>25990</v>
      </c>
    </row>
    <row r="520" spans="2:6" x14ac:dyDescent="0.3">
      <c r="B520" s="362">
        <v>446100</v>
      </c>
      <c r="C520" s="171"/>
      <c r="D520" s="358" t="s">
        <v>138</v>
      </c>
      <c r="E520" s="358" t="s">
        <v>105</v>
      </c>
      <c r="F520" s="29"/>
    </row>
    <row r="521" spans="2:6" x14ac:dyDescent="0.3">
      <c r="B521" s="362">
        <v>446200</v>
      </c>
      <c r="C521" s="171"/>
      <c r="D521" s="358" t="s">
        <v>138</v>
      </c>
      <c r="E521" s="358" t="s">
        <v>41</v>
      </c>
      <c r="F521" s="29"/>
    </row>
    <row r="522" spans="2:6" x14ac:dyDescent="0.3">
      <c r="B522" s="362">
        <v>446300</v>
      </c>
      <c r="C522" s="171"/>
      <c r="D522" s="358" t="s">
        <v>141</v>
      </c>
      <c r="E522" s="358" t="s">
        <v>105</v>
      </c>
      <c r="F522" s="29"/>
    </row>
    <row r="523" spans="2:6" x14ac:dyDescent="0.3">
      <c r="B523" s="362">
        <v>446400</v>
      </c>
      <c r="C523" s="171"/>
      <c r="D523" s="358" t="s">
        <v>141</v>
      </c>
      <c r="E523" s="358" t="s">
        <v>264</v>
      </c>
      <c r="F523" s="29"/>
    </row>
    <row r="524" spans="2:6" x14ac:dyDescent="0.3">
      <c r="B524" s="362">
        <v>446500</v>
      </c>
      <c r="C524" s="171"/>
      <c r="D524" s="358" t="s">
        <v>138</v>
      </c>
      <c r="E524" s="358" t="s">
        <v>186</v>
      </c>
      <c r="F524" s="29"/>
    </row>
    <row r="525" spans="2:6" x14ac:dyDescent="0.3">
      <c r="B525" s="362">
        <v>446600</v>
      </c>
      <c r="C525" s="171"/>
      <c r="D525" s="358" t="s">
        <v>141</v>
      </c>
      <c r="E525" s="358" t="s">
        <v>264</v>
      </c>
      <c r="F525" s="29"/>
    </row>
    <row r="526" spans="2:6" x14ac:dyDescent="0.3">
      <c r="B526" s="362">
        <v>446700</v>
      </c>
      <c r="C526" s="171"/>
      <c r="D526" s="358" t="s">
        <v>592</v>
      </c>
      <c r="E526" s="358" t="s">
        <v>41</v>
      </c>
      <c r="F526" s="29"/>
    </row>
    <row r="527" spans="2:6" x14ac:dyDescent="0.3">
      <c r="B527" s="397">
        <v>446800</v>
      </c>
      <c r="C527" s="382" t="s">
        <v>593</v>
      </c>
      <c r="D527" s="383" t="s">
        <v>138</v>
      </c>
      <c r="E527" s="383" t="s">
        <v>199</v>
      </c>
      <c r="F527" s="384">
        <v>24990</v>
      </c>
    </row>
    <row r="528" spans="2:6" x14ac:dyDescent="0.3">
      <c r="B528" s="362">
        <v>446900</v>
      </c>
      <c r="C528" s="171"/>
      <c r="D528" s="358" t="s">
        <v>594</v>
      </c>
      <c r="E528" s="358" t="s">
        <v>595</v>
      </c>
      <c r="F528" s="29">
        <v>27990</v>
      </c>
    </row>
    <row r="529" spans="1:6" x14ac:dyDescent="0.3">
      <c r="B529" s="362">
        <v>447000</v>
      </c>
      <c r="C529" s="171"/>
      <c r="D529" s="358" t="s">
        <v>594</v>
      </c>
      <c r="E529" s="358" t="s">
        <v>595</v>
      </c>
      <c r="F529" s="29">
        <v>27990</v>
      </c>
    </row>
    <row r="530" spans="1:6" x14ac:dyDescent="0.3">
      <c r="B530" s="397">
        <v>447100</v>
      </c>
      <c r="C530" s="382" t="s">
        <v>596</v>
      </c>
      <c r="D530" s="381" t="s">
        <v>141</v>
      </c>
      <c r="E530" s="383" t="s">
        <v>587</v>
      </c>
      <c r="F530" s="384">
        <v>25990</v>
      </c>
    </row>
    <row r="531" spans="1:6" x14ac:dyDescent="0.3">
      <c r="B531" s="397">
        <v>447200</v>
      </c>
      <c r="C531" s="386" t="s">
        <v>598</v>
      </c>
      <c r="D531" s="387" t="s">
        <v>138</v>
      </c>
      <c r="E531" s="388" t="s">
        <v>523</v>
      </c>
      <c r="F531" s="384">
        <v>25990</v>
      </c>
    </row>
    <row r="532" spans="1:6" x14ac:dyDescent="0.3">
      <c r="B532" s="397">
        <v>447201</v>
      </c>
      <c r="C532" s="386" t="s">
        <v>600</v>
      </c>
      <c r="D532" s="387" t="s">
        <v>138</v>
      </c>
      <c r="E532" s="388" t="s">
        <v>105</v>
      </c>
      <c r="F532" s="384">
        <v>25990</v>
      </c>
    </row>
    <row r="533" spans="1:6" x14ac:dyDescent="0.3">
      <c r="A533" s="221" t="s">
        <v>601</v>
      </c>
      <c r="B533" s="397">
        <v>447300</v>
      </c>
      <c r="C533" s="382" t="s">
        <v>602</v>
      </c>
      <c r="D533" s="387" t="s">
        <v>138</v>
      </c>
      <c r="E533" s="388" t="s">
        <v>192</v>
      </c>
      <c r="F533" s="384">
        <v>24990</v>
      </c>
    </row>
    <row r="534" spans="1:6" x14ac:dyDescent="0.3">
      <c r="B534" s="362">
        <v>447400</v>
      </c>
      <c r="C534" s="171"/>
      <c r="D534" s="363" t="s">
        <v>138</v>
      </c>
      <c r="E534" s="359" t="s">
        <v>199</v>
      </c>
      <c r="F534" s="29"/>
    </row>
    <row r="535" spans="1:6" x14ac:dyDescent="0.3">
      <c r="B535" s="362">
        <v>447500</v>
      </c>
      <c r="C535" s="171"/>
      <c r="D535" s="362"/>
      <c r="E535" s="358"/>
      <c r="F535" s="29"/>
    </row>
    <row r="536" spans="1:6" x14ac:dyDescent="0.3">
      <c r="A536" s="221" t="s">
        <v>2186</v>
      </c>
      <c r="B536" s="397">
        <v>447600</v>
      </c>
      <c r="C536" s="171" t="s">
        <v>2180</v>
      </c>
      <c r="D536" s="170" t="s">
        <v>191</v>
      </c>
      <c r="E536" s="170" t="s">
        <v>186</v>
      </c>
      <c r="F536" s="29">
        <v>25990</v>
      </c>
    </row>
    <row r="537" spans="1:6" x14ac:dyDescent="0.3">
      <c r="B537" s="380">
        <v>447700</v>
      </c>
      <c r="C537" s="171"/>
      <c r="D537" s="170"/>
      <c r="E537" s="170"/>
      <c r="F537" s="29"/>
    </row>
    <row r="538" spans="1:6" x14ac:dyDescent="0.3">
      <c r="B538" s="380">
        <v>447800</v>
      </c>
      <c r="C538" s="171"/>
      <c r="D538" s="170"/>
      <c r="E538" s="170"/>
      <c r="F538" s="29"/>
    </row>
    <row r="539" spans="1:6" x14ac:dyDescent="0.3">
      <c r="B539" s="362">
        <v>447900</v>
      </c>
      <c r="C539" s="171"/>
      <c r="D539" s="170"/>
      <c r="E539" s="170"/>
      <c r="F539" s="29"/>
    </row>
    <row r="540" spans="1:6" x14ac:dyDescent="0.3">
      <c r="B540" s="396">
        <v>448000</v>
      </c>
      <c r="C540" s="395" t="s">
        <v>2191</v>
      </c>
      <c r="D540" s="170" t="s">
        <v>141</v>
      </c>
      <c r="E540" s="170" t="s">
        <v>186</v>
      </c>
      <c r="F540" s="29">
        <v>25990</v>
      </c>
    </row>
    <row r="541" spans="1:6" x14ac:dyDescent="0.3">
      <c r="B541" s="380">
        <v>448100</v>
      </c>
      <c r="C541" s="171"/>
      <c r="D541" s="170"/>
      <c r="E541" s="170"/>
      <c r="F541" s="29"/>
    </row>
    <row r="542" spans="1:6" x14ac:dyDescent="0.3">
      <c r="A542" s="221">
        <v>4236</v>
      </c>
      <c r="B542" s="397">
        <v>448200</v>
      </c>
      <c r="C542" s="171" t="s">
        <v>2189</v>
      </c>
      <c r="D542" s="170" t="s">
        <v>141</v>
      </c>
      <c r="E542" s="170" t="s">
        <v>183</v>
      </c>
      <c r="F542" s="29">
        <v>26990</v>
      </c>
    </row>
    <row r="543" spans="1:6" x14ac:dyDescent="0.3">
      <c r="B543" s="380">
        <v>448300</v>
      </c>
      <c r="C543" s="171"/>
      <c r="D543" s="170"/>
      <c r="E543" s="170"/>
      <c r="F543" s="29"/>
    </row>
    <row r="544" spans="1:6" x14ac:dyDescent="0.3">
      <c r="A544" s="221">
        <v>4301</v>
      </c>
      <c r="B544" s="396">
        <v>448400</v>
      </c>
      <c r="C544" s="171" t="s">
        <v>2182</v>
      </c>
      <c r="D544" s="170" t="s">
        <v>191</v>
      </c>
      <c r="E544" s="170" t="s">
        <v>105</v>
      </c>
      <c r="F544" s="29">
        <v>25990</v>
      </c>
    </row>
    <row r="545" spans="1:6" x14ac:dyDescent="0.3">
      <c r="A545" s="221">
        <v>4314</v>
      </c>
      <c r="B545" s="397">
        <v>448500</v>
      </c>
      <c r="C545" s="171" t="s">
        <v>2181</v>
      </c>
      <c r="D545" s="170" t="s">
        <v>141</v>
      </c>
      <c r="E545" s="170" t="s">
        <v>264</v>
      </c>
      <c r="F545" s="29">
        <v>25990</v>
      </c>
    </row>
    <row r="546" spans="1:6" x14ac:dyDescent="0.3">
      <c r="B546" s="396">
        <v>448600</v>
      </c>
      <c r="C546" s="171" t="s">
        <v>2187</v>
      </c>
      <c r="D546" s="170" t="s">
        <v>141</v>
      </c>
      <c r="E546" s="170" t="s">
        <v>603</v>
      </c>
      <c r="F546" s="29">
        <v>25990</v>
      </c>
    </row>
    <row r="547" spans="1:6" x14ac:dyDescent="0.3">
      <c r="B547" s="380">
        <v>448760</v>
      </c>
      <c r="C547" s="171" t="s">
        <v>2185</v>
      </c>
      <c r="D547" s="170" t="s">
        <v>604</v>
      </c>
      <c r="E547" s="170" t="s">
        <v>199</v>
      </c>
      <c r="F547" s="29">
        <v>26990</v>
      </c>
    </row>
    <row r="548" spans="1:6" x14ac:dyDescent="0.3">
      <c r="B548" s="380">
        <v>448700</v>
      </c>
      <c r="C548" s="171" t="s">
        <v>2184</v>
      </c>
      <c r="D548" s="170" t="s">
        <v>604</v>
      </c>
      <c r="E548" s="170" t="s">
        <v>199</v>
      </c>
      <c r="F548" s="29">
        <v>24990</v>
      </c>
    </row>
    <row r="549" spans="1:6" x14ac:dyDescent="0.3">
      <c r="B549" s="362">
        <v>448800</v>
      </c>
      <c r="C549" s="171" t="s">
        <v>605</v>
      </c>
      <c r="D549" s="170" t="s">
        <v>141</v>
      </c>
      <c r="E549" s="170" t="s">
        <v>199</v>
      </c>
      <c r="F549" s="29">
        <v>26990</v>
      </c>
    </row>
    <row r="550" spans="1:6" x14ac:dyDescent="0.3">
      <c r="B550" s="396">
        <v>448900</v>
      </c>
      <c r="C550" s="382" t="s">
        <v>606</v>
      </c>
      <c r="D550" s="392" t="s">
        <v>141</v>
      </c>
      <c r="E550" s="392" t="s">
        <v>199</v>
      </c>
      <c r="F550" s="384">
        <v>26990</v>
      </c>
    </row>
    <row r="551" spans="1:6" x14ac:dyDescent="0.3">
      <c r="B551" s="380">
        <v>449000</v>
      </c>
      <c r="C551" s="171"/>
      <c r="D551" s="170"/>
      <c r="E551" s="170"/>
      <c r="F551" s="29"/>
    </row>
    <row r="552" spans="1:6" x14ac:dyDescent="0.3">
      <c r="B552" s="362">
        <v>449100</v>
      </c>
      <c r="C552" s="171"/>
      <c r="D552" s="170"/>
      <c r="E552" s="170"/>
      <c r="F552" s="29"/>
    </row>
    <row r="553" spans="1:6" x14ac:dyDescent="0.3">
      <c r="B553" s="396">
        <v>449200</v>
      </c>
      <c r="C553" s="171" t="s">
        <v>608</v>
      </c>
      <c r="D553" s="170" t="s">
        <v>141</v>
      </c>
      <c r="E553" s="170" t="s">
        <v>105</v>
      </c>
      <c r="F553" s="29">
        <v>25990</v>
      </c>
    </row>
    <row r="554" spans="1:6" x14ac:dyDescent="0.3">
      <c r="B554" s="380">
        <v>449290</v>
      </c>
      <c r="C554" s="171" t="s">
        <v>610</v>
      </c>
      <c r="D554" s="170" t="s">
        <v>141</v>
      </c>
      <c r="E554" s="170" t="s">
        <v>105</v>
      </c>
      <c r="F554" s="29">
        <v>26990</v>
      </c>
    </row>
    <row r="555" spans="1:6" x14ac:dyDescent="0.3">
      <c r="B555" s="380">
        <v>449301</v>
      </c>
      <c r="C555" s="171" t="s">
        <v>2210</v>
      </c>
      <c r="D555" s="170" t="s">
        <v>141</v>
      </c>
      <c r="E555" s="170" t="s">
        <v>105</v>
      </c>
      <c r="F555" s="29">
        <v>25990</v>
      </c>
    </row>
    <row r="556" spans="1:6" x14ac:dyDescent="0.3">
      <c r="B556" s="397">
        <v>449404</v>
      </c>
      <c r="C556" s="171" t="s">
        <v>2205</v>
      </c>
      <c r="D556" s="170" t="s">
        <v>141</v>
      </c>
      <c r="E556" s="170" t="s">
        <v>264</v>
      </c>
      <c r="F556" s="29">
        <v>25990</v>
      </c>
    </row>
    <row r="557" spans="1:6" x14ac:dyDescent="0.3">
      <c r="B557" s="362">
        <v>449406</v>
      </c>
      <c r="C557" s="171" t="s">
        <v>2206</v>
      </c>
      <c r="D557" s="170" t="s">
        <v>141</v>
      </c>
      <c r="E557" s="170" t="s">
        <v>264</v>
      </c>
      <c r="F557" s="29">
        <v>25990</v>
      </c>
    </row>
    <row r="558" spans="1:6" x14ac:dyDescent="0.3">
      <c r="B558" s="362">
        <v>449409</v>
      </c>
      <c r="C558" s="171" t="s">
        <v>2207</v>
      </c>
      <c r="D558" s="170" t="s">
        <v>141</v>
      </c>
      <c r="E558" s="170" t="s">
        <v>264</v>
      </c>
      <c r="F558" s="29">
        <v>25990</v>
      </c>
    </row>
    <row r="559" spans="1:6" x14ac:dyDescent="0.3">
      <c r="B559" s="362">
        <v>449424</v>
      </c>
      <c r="C559" s="171" t="s">
        <v>2208</v>
      </c>
      <c r="D559" s="170" t="s">
        <v>141</v>
      </c>
      <c r="E559" s="170" t="s">
        <v>264</v>
      </c>
      <c r="F559" s="29">
        <v>25990</v>
      </c>
    </row>
    <row r="560" spans="1:6" x14ac:dyDescent="0.3">
      <c r="B560" s="362"/>
      <c r="C560" s="171"/>
      <c r="D560" s="170"/>
      <c r="E560" s="170"/>
      <c r="F560" s="29"/>
    </row>
    <row r="561" spans="1:6" x14ac:dyDescent="0.3">
      <c r="B561" s="362"/>
      <c r="C561" s="171"/>
      <c r="D561" s="170"/>
      <c r="E561" s="170"/>
      <c r="F561" s="29"/>
    </row>
    <row r="562" spans="1:6" x14ac:dyDescent="0.3">
      <c r="B562" s="380">
        <v>449500</v>
      </c>
      <c r="C562" s="171" t="s">
        <v>616</v>
      </c>
      <c r="D562" s="170" t="s">
        <v>141</v>
      </c>
      <c r="E562" s="170" t="s">
        <v>183</v>
      </c>
      <c r="F562" s="29">
        <v>26990</v>
      </c>
    </row>
    <row r="563" spans="1:6" x14ac:dyDescent="0.3">
      <c r="B563" s="380">
        <v>449504</v>
      </c>
      <c r="C563" s="171" t="s">
        <v>618</v>
      </c>
      <c r="D563" s="170" t="s">
        <v>141</v>
      </c>
      <c r="E563" s="170" t="s">
        <v>183</v>
      </c>
      <c r="F563" s="29">
        <v>26990</v>
      </c>
    </row>
    <row r="564" spans="1:6" x14ac:dyDescent="0.3">
      <c r="B564" s="380">
        <v>449506</v>
      </c>
      <c r="C564" s="171" t="s">
        <v>620</v>
      </c>
      <c r="D564" s="170" t="s">
        <v>141</v>
      </c>
      <c r="E564" s="170" t="s">
        <v>183</v>
      </c>
      <c r="F564" s="29">
        <v>26990</v>
      </c>
    </row>
    <row r="565" spans="1:6" x14ac:dyDescent="0.3">
      <c r="B565" s="380">
        <v>449509</v>
      </c>
      <c r="C565" s="171" t="s">
        <v>622</v>
      </c>
      <c r="D565" s="170" t="s">
        <v>141</v>
      </c>
      <c r="E565" s="170" t="s">
        <v>183</v>
      </c>
      <c r="F565" s="29">
        <v>26990</v>
      </c>
    </row>
    <row r="566" spans="1:6" x14ac:dyDescent="0.3">
      <c r="B566" s="380">
        <v>449524</v>
      </c>
      <c r="C566" s="171" t="s">
        <v>624</v>
      </c>
      <c r="D566" s="170" t="s">
        <v>141</v>
      </c>
      <c r="E566" s="170" t="s">
        <v>183</v>
      </c>
      <c r="F566" s="29">
        <v>26990</v>
      </c>
    </row>
    <row r="567" spans="1:6" x14ac:dyDescent="0.3">
      <c r="B567" s="380">
        <v>449538</v>
      </c>
      <c r="C567" s="171" t="s">
        <v>626</v>
      </c>
      <c r="D567" s="170" t="s">
        <v>141</v>
      </c>
      <c r="E567" s="170" t="s">
        <v>183</v>
      </c>
      <c r="F567" s="29">
        <v>26990</v>
      </c>
    </row>
    <row r="568" spans="1:6" x14ac:dyDescent="0.3">
      <c r="B568" s="391">
        <v>449600</v>
      </c>
      <c r="C568" s="382" t="s">
        <v>2192</v>
      </c>
      <c r="D568" s="392" t="s">
        <v>138</v>
      </c>
      <c r="E568" s="392" t="s">
        <v>199</v>
      </c>
      <c r="F568" s="384">
        <v>26990</v>
      </c>
    </row>
    <row r="569" spans="1:6" x14ac:dyDescent="0.3">
      <c r="A569" s="221">
        <v>4323</v>
      </c>
      <c r="B569" s="397">
        <v>449700</v>
      </c>
      <c r="C569" s="171" t="s">
        <v>2190</v>
      </c>
      <c r="D569" s="170" t="s">
        <v>141</v>
      </c>
      <c r="E569" s="170" t="s">
        <v>264</v>
      </c>
      <c r="F569" s="29">
        <v>25990</v>
      </c>
    </row>
    <row r="570" spans="1:6" x14ac:dyDescent="0.3">
      <c r="B570" s="380">
        <v>449800</v>
      </c>
      <c r="C570" s="171"/>
      <c r="D570" s="170"/>
      <c r="E570" s="170"/>
      <c r="F570" s="29"/>
    </row>
    <row r="571" spans="1:6" x14ac:dyDescent="0.3">
      <c r="B571" s="295">
        <v>449900</v>
      </c>
      <c r="F571" s="380"/>
    </row>
    <row r="572" spans="1:6" x14ac:dyDescent="0.3">
      <c r="F572" s="380"/>
    </row>
    <row r="573" spans="1:6" x14ac:dyDescent="0.3">
      <c r="F573" s="380"/>
    </row>
    <row r="574" spans="1:6" x14ac:dyDescent="0.3">
      <c r="F574" s="380"/>
    </row>
    <row r="575" spans="1:6" x14ac:dyDescent="0.3">
      <c r="F575" s="380"/>
    </row>
  </sheetData>
  <autoFilter ref="A437:G477" xr:uid="{00000000-0009-0000-0000-000004000000}"/>
  <conditionalFormatting sqref="A382:A387">
    <cfRule type="duplicateValues" dxfId="38" priority="22"/>
    <cfRule type="duplicateValues" dxfId="37" priority="23"/>
    <cfRule type="duplicateValues" dxfId="36" priority="24"/>
  </conditionalFormatting>
  <conditionalFormatting sqref="A388">
    <cfRule type="duplicateValues" dxfId="35" priority="19"/>
    <cfRule type="duplicateValues" dxfId="34" priority="20"/>
    <cfRule type="duplicateValues" dxfId="33" priority="21"/>
  </conditionalFormatting>
  <conditionalFormatting sqref="A390">
    <cfRule type="duplicateValues" dxfId="32" priority="560"/>
    <cfRule type="duplicateValues" dxfId="31" priority="559"/>
    <cfRule type="duplicateValues" dxfId="30" priority="558"/>
  </conditionalFormatting>
  <conditionalFormatting sqref="A391">
    <cfRule type="duplicateValues" dxfId="29" priority="563"/>
    <cfRule type="duplicateValues" dxfId="28" priority="562"/>
    <cfRule type="duplicateValues" dxfId="27" priority="561"/>
  </conditionalFormatting>
  <conditionalFormatting sqref="A392">
    <cfRule type="duplicateValues" dxfId="26" priority="7"/>
    <cfRule type="duplicateValues" dxfId="25" priority="8"/>
    <cfRule type="duplicateValues" dxfId="24" priority="9"/>
  </conditionalFormatting>
  <conditionalFormatting sqref="A393">
    <cfRule type="duplicateValues" dxfId="23" priority="4"/>
    <cfRule type="duplicateValues" dxfId="22" priority="5"/>
    <cfRule type="duplicateValues" dxfId="21" priority="6"/>
  </conditionalFormatting>
  <conditionalFormatting sqref="A179:B179">
    <cfRule type="duplicateValues" dxfId="20" priority="37"/>
    <cfRule type="duplicateValues" dxfId="19" priority="38"/>
    <cfRule type="duplicateValues" dxfId="18" priority="39"/>
  </conditionalFormatting>
  <conditionalFormatting sqref="A186:B188">
    <cfRule type="duplicateValues" dxfId="17" priority="46"/>
    <cfRule type="duplicateValues" dxfId="16" priority="47"/>
    <cfRule type="duplicateValues" dxfId="15" priority="48"/>
  </conditionalFormatting>
  <conditionalFormatting sqref="A191:B191">
    <cfRule type="duplicateValues" dxfId="14" priority="43"/>
    <cfRule type="duplicateValues" dxfId="13" priority="44"/>
    <cfRule type="duplicateValues" dxfId="12" priority="45"/>
  </conditionalFormatting>
  <conditionalFormatting sqref="A192:B193">
    <cfRule type="duplicateValues" dxfId="11" priority="40"/>
    <cfRule type="duplicateValues" dxfId="10" priority="41"/>
    <cfRule type="duplicateValues" dxfId="9" priority="42"/>
  </conditionalFormatting>
  <conditionalFormatting sqref="A219:B219 A243:B271">
    <cfRule type="duplicateValues" dxfId="8" priority="551"/>
    <cfRule type="duplicateValues" dxfId="7" priority="552"/>
    <cfRule type="duplicateValues" dxfId="6" priority="553"/>
  </conditionalFormatting>
  <conditionalFormatting sqref="A347:B362 A364:B364">
    <cfRule type="duplicateValues" dxfId="5" priority="27"/>
    <cfRule type="duplicateValues" dxfId="4" priority="26"/>
    <cfRule type="duplicateValues" dxfId="3" priority="25"/>
  </conditionalFormatting>
  <conditionalFormatting sqref="A363:B363">
    <cfRule type="duplicateValues" dxfId="2" priority="3"/>
    <cfRule type="duplicateValues" dxfId="1" priority="2"/>
    <cfRule type="duplicateValues" dxfId="0" priority="1"/>
  </conditionalFormatting>
  <pageMargins left="0.11811023622047249" right="0.31496062992125978" top="0.15748031496062989" bottom="0.15748031496062989" header="0.31496062992125978" footer="0.31496062992125978"/>
  <pageSetup scale="11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6640625" customWidth="1"/>
  </cols>
  <sheetData>
    <row r="1" spans="1:4" ht="13.5" customHeight="1" thickBot="1" x14ac:dyDescent="0.3">
      <c r="A1" s="341" t="s">
        <v>633</v>
      </c>
      <c r="B1" s="342"/>
      <c r="C1" s="343" t="s">
        <v>684</v>
      </c>
      <c r="D1" s="344"/>
    </row>
    <row r="2" spans="1:4" ht="13.5" customHeight="1" thickBot="1" x14ac:dyDescent="0.3"/>
    <row r="3" spans="1:4" ht="13.5" customHeight="1" thickBot="1" x14ac:dyDescent="0.3">
      <c r="A3" s="341" t="s">
        <v>685</v>
      </c>
      <c r="B3" s="345">
        <v>8000000</v>
      </c>
    </row>
    <row r="4" spans="1:4" ht="13.5" customHeight="1" thickBot="1" x14ac:dyDescent="0.3">
      <c r="B4" s="346"/>
    </row>
    <row r="5" spans="1:4" ht="13.5" customHeight="1" thickBot="1" x14ac:dyDescent="0.3">
      <c r="A5" s="341" t="s">
        <v>686</v>
      </c>
      <c r="B5" s="345">
        <v>5000000</v>
      </c>
    </row>
    <row r="6" spans="1:4" ht="13.5" customHeight="1" thickBot="1" x14ac:dyDescent="0.3">
      <c r="A6" s="341" t="s">
        <v>687</v>
      </c>
      <c r="B6" s="345">
        <v>6</v>
      </c>
    </row>
    <row r="7" spans="1:4" ht="13.5" customHeight="1" thickBot="1" x14ac:dyDescent="0.3">
      <c r="A7" s="341" t="s">
        <v>688</v>
      </c>
      <c r="B7" s="347">
        <v>0.02</v>
      </c>
    </row>
    <row r="8" spans="1:4" ht="13.5" customHeight="1" thickBot="1" x14ac:dyDescent="0.3">
      <c r="A8" s="341" t="s">
        <v>689</v>
      </c>
      <c r="B8" s="348">
        <v>46183</v>
      </c>
    </row>
    <row r="9" spans="1:4" ht="13.5" customHeight="1" thickBot="1" x14ac:dyDescent="0.3">
      <c r="A9" s="341" t="s">
        <v>690</v>
      </c>
      <c r="B9" s="349">
        <f>(($B$3-$B$5)*$B$7)*$B$6</f>
        <v>360000</v>
      </c>
    </row>
    <row r="10" spans="1:4" ht="13.5" customHeight="1" thickBot="1" x14ac:dyDescent="0.3"/>
    <row r="11" spans="1:4" x14ac:dyDescent="0.25">
      <c r="A11" s="350" t="s">
        <v>691</v>
      </c>
      <c r="B11" s="351" t="s">
        <v>692</v>
      </c>
      <c r="C11" s="352" t="s">
        <v>693</v>
      </c>
    </row>
    <row r="12" spans="1:4" x14ac:dyDescent="0.25">
      <c r="A12" s="353">
        <f>($B$6)-($B$6-1)</f>
        <v>1</v>
      </c>
      <c r="B12" s="354">
        <f>+B8</f>
        <v>46183</v>
      </c>
      <c r="C12" s="355">
        <f t="shared" ref="C12:C21" si="0">IF(A12&lt;&gt;"-",(($B$3-$B$5)/10+($B$9/$B$6)),"-")</f>
        <v>360000</v>
      </c>
    </row>
    <row r="13" spans="1:4" x14ac:dyDescent="0.25">
      <c r="A13" s="353" t="str">
        <f>IF($B$6=2,"2",IF($B$6&lt;2,"-","2"))</f>
        <v>2</v>
      </c>
      <c r="B13" s="354">
        <f t="shared" ref="B13:B21" si="1">IF(A13&lt;&gt;"-",B12+30,"-")</f>
        <v>46213</v>
      </c>
      <c r="C13" s="355">
        <f t="shared" si="0"/>
        <v>360000</v>
      </c>
    </row>
    <row r="14" spans="1:4" x14ac:dyDescent="0.25">
      <c r="A14" s="353" t="str">
        <f>IF($B$6=3,"3",IF($B$6&lt;3,"-","3"))</f>
        <v>3</v>
      </c>
      <c r="B14" s="354">
        <f t="shared" si="1"/>
        <v>46243</v>
      </c>
      <c r="C14" s="355">
        <f t="shared" si="0"/>
        <v>360000</v>
      </c>
    </row>
    <row r="15" spans="1:4" x14ac:dyDescent="0.25">
      <c r="A15" s="353" t="str">
        <f>IF($B$6=4,"4",IF($B$6&lt;4,"-","4"))</f>
        <v>4</v>
      </c>
      <c r="B15" s="354">
        <f t="shared" si="1"/>
        <v>46273</v>
      </c>
      <c r="C15" s="355">
        <f t="shared" si="0"/>
        <v>360000</v>
      </c>
    </row>
    <row r="16" spans="1:4" x14ac:dyDescent="0.25">
      <c r="A16" s="353" t="str">
        <f>IF($B$6=5,"5",IF($B$6&lt;5,"-","5"))</f>
        <v>5</v>
      </c>
      <c r="B16" s="354">
        <f t="shared" si="1"/>
        <v>46303</v>
      </c>
      <c r="C16" s="355">
        <f t="shared" si="0"/>
        <v>360000</v>
      </c>
    </row>
    <row r="17" spans="1:3" x14ac:dyDescent="0.25">
      <c r="A17" s="353" t="str">
        <f>IF($B$6=6,"6",IF($B$6&lt;6,"-","6"))</f>
        <v>6</v>
      </c>
      <c r="B17" s="354">
        <f t="shared" si="1"/>
        <v>46333</v>
      </c>
      <c r="C17" s="355">
        <f t="shared" si="0"/>
        <v>360000</v>
      </c>
    </row>
    <row r="18" spans="1:3" x14ac:dyDescent="0.25">
      <c r="A18" s="353" t="str">
        <f>IF($B$6=7,"7",IF($B$6&lt;7,"-","7"))</f>
        <v>-</v>
      </c>
      <c r="B18" s="354" t="str">
        <f t="shared" si="1"/>
        <v>-</v>
      </c>
      <c r="C18" s="355" t="str">
        <f t="shared" si="0"/>
        <v>-</v>
      </c>
    </row>
    <row r="19" spans="1:3" x14ac:dyDescent="0.25">
      <c r="A19" s="353" t="str">
        <f>IF($B$6=8,"8",IF($B$6&lt;8,"-","8"))</f>
        <v>-</v>
      </c>
      <c r="B19" s="354" t="str">
        <f t="shared" si="1"/>
        <v>-</v>
      </c>
      <c r="C19" s="355" t="str">
        <f t="shared" si="0"/>
        <v>-</v>
      </c>
    </row>
    <row r="20" spans="1:3" x14ac:dyDescent="0.25">
      <c r="A20" s="353" t="str">
        <f>IF($B$6=9,"9",IF($B$6&lt;9,"-","9"))</f>
        <v>-</v>
      </c>
      <c r="B20" s="354" t="str">
        <f t="shared" si="1"/>
        <v>-</v>
      </c>
      <c r="C20" s="355" t="str">
        <f t="shared" si="0"/>
        <v>-</v>
      </c>
    </row>
    <row r="21" spans="1:3" x14ac:dyDescent="0.25">
      <c r="A21" s="353" t="str">
        <f>IF($B$6=10,"10",IF($B$6&lt;10,"-","10"))</f>
        <v>-</v>
      </c>
      <c r="B21" s="354" t="str">
        <f t="shared" si="1"/>
        <v>-</v>
      </c>
      <c r="C21" s="355" t="str">
        <f t="shared" si="0"/>
        <v>-</v>
      </c>
    </row>
    <row r="22" spans="1:3" x14ac:dyDescent="0.25">
      <c r="A22" s="356"/>
      <c r="C22" s="346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6.5" customHeight="1" x14ac:dyDescent="0.25">
      <c r="A1" s="328">
        <v>436500</v>
      </c>
      <c r="B1" s="332" t="s">
        <v>473</v>
      </c>
      <c r="C1" s="14" t="s">
        <v>6</v>
      </c>
      <c r="D1" s="14" t="s">
        <v>9</v>
      </c>
      <c r="E1" s="264">
        <v>25990</v>
      </c>
      <c r="F1" s="331">
        <v>3902</v>
      </c>
      <c r="G1" s="46"/>
    </row>
    <row r="2" spans="1:7" ht="16.5" customHeight="1" x14ac:dyDescent="0.25">
      <c r="A2" s="328">
        <v>436204</v>
      </c>
      <c r="B2" s="308" t="s">
        <v>498</v>
      </c>
      <c r="C2" s="170" t="s">
        <v>6</v>
      </c>
      <c r="D2" s="14" t="s">
        <v>14</v>
      </c>
      <c r="E2" s="264">
        <v>25990</v>
      </c>
      <c r="F2" s="331" t="s">
        <v>694</v>
      </c>
      <c r="G2" s="46" t="s">
        <v>695</v>
      </c>
    </row>
    <row r="3" spans="1:7" ht="16.5" customHeight="1" x14ac:dyDescent="0.25">
      <c r="A3" s="328">
        <v>436206</v>
      </c>
      <c r="B3" s="308" t="s">
        <v>499</v>
      </c>
      <c r="C3" s="170" t="s">
        <v>6</v>
      </c>
      <c r="D3" s="14" t="s">
        <v>14</v>
      </c>
      <c r="E3" s="264">
        <v>25990</v>
      </c>
      <c r="F3" s="331"/>
      <c r="G3" s="46"/>
    </row>
    <row r="4" spans="1:7" ht="16.5" customHeight="1" x14ac:dyDescent="0.25">
      <c r="A4" s="328">
        <v>436208</v>
      </c>
      <c r="B4" s="332" t="s">
        <v>500</v>
      </c>
      <c r="C4" s="170" t="s">
        <v>6</v>
      </c>
      <c r="D4" s="14" t="s">
        <v>14</v>
      </c>
      <c r="E4" s="264">
        <v>25990</v>
      </c>
      <c r="F4" s="331"/>
      <c r="G4" s="46"/>
    </row>
    <row r="5" spans="1:7" ht="16.5" customHeight="1" x14ac:dyDescent="0.25">
      <c r="A5" s="328">
        <v>436216</v>
      </c>
      <c r="B5" s="332" t="s">
        <v>501</v>
      </c>
      <c r="C5" s="170" t="s">
        <v>6</v>
      </c>
      <c r="D5" s="14" t="s">
        <v>14</v>
      </c>
      <c r="E5" s="264">
        <v>25990</v>
      </c>
      <c r="F5" s="331"/>
      <c r="G5" s="46"/>
    </row>
    <row r="6" spans="1:7" ht="16.5" customHeight="1" x14ac:dyDescent="0.25">
      <c r="A6" s="328">
        <v>436248</v>
      </c>
      <c r="B6" s="332" t="s">
        <v>502</v>
      </c>
      <c r="C6" s="170" t="s">
        <v>6</v>
      </c>
      <c r="D6" s="14" t="s">
        <v>14</v>
      </c>
      <c r="E6" s="264">
        <v>25991</v>
      </c>
      <c r="F6" s="331"/>
      <c r="G6" s="46"/>
    </row>
    <row r="7" spans="1:7" ht="16.5" customHeight="1" x14ac:dyDescent="0.25">
      <c r="A7" s="328">
        <v>436104</v>
      </c>
      <c r="B7" s="332" t="s">
        <v>492</v>
      </c>
      <c r="C7" s="170" t="s">
        <v>6</v>
      </c>
      <c r="D7" s="14" t="s">
        <v>13</v>
      </c>
      <c r="E7" s="264">
        <v>26990</v>
      </c>
      <c r="F7" s="331" t="s">
        <v>696</v>
      </c>
      <c r="G7" s="46" t="s">
        <v>697</v>
      </c>
    </row>
    <row r="8" spans="1:7" ht="16.5" customHeight="1" x14ac:dyDescent="0.25">
      <c r="A8" s="328">
        <v>436106</v>
      </c>
      <c r="B8" s="308" t="s">
        <v>494</v>
      </c>
      <c r="C8" s="170" t="s">
        <v>6</v>
      </c>
      <c r="D8" s="14" t="s">
        <v>13</v>
      </c>
      <c r="E8" s="264">
        <v>26990</v>
      </c>
      <c r="F8" s="331"/>
      <c r="G8" s="46"/>
    </row>
    <row r="9" spans="1:7" ht="16.5" customHeight="1" x14ac:dyDescent="0.25">
      <c r="A9" s="328">
        <v>436108</v>
      </c>
      <c r="B9" s="332" t="s">
        <v>495</v>
      </c>
      <c r="C9" s="170" t="s">
        <v>6</v>
      </c>
      <c r="D9" s="14" t="s">
        <v>13</v>
      </c>
      <c r="E9" s="264">
        <v>26990</v>
      </c>
      <c r="F9" s="331"/>
      <c r="G9" s="46"/>
    </row>
    <row r="10" spans="1:7" ht="16.5" customHeight="1" x14ac:dyDescent="0.25">
      <c r="A10" s="328">
        <v>436116</v>
      </c>
      <c r="B10" s="332" t="s">
        <v>496</v>
      </c>
      <c r="C10" s="170" t="s">
        <v>6</v>
      </c>
      <c r="D10" s="14" t="s">
        <v>13</v>
      </c>
      <c r="E10" s="264">
        <v>26990</v>
      </c>
      <c r="F10" s="331"/>
      <c r="G10" s="46"/>
    </row>
    <row r="11" spans="1:7" ht="16.5" customHeight="1" x14ac:dyDescent="0.25">
      <c r="A11" s="328">
        <v>436148</v>
      </c>
      <c r="B11" s="308" t="s">
        <v>497</v>
      </c>
      <c r="C11" s="170" t="s">
        <v>6</v>
      </c>
      <c r="D11" s="14" t="s">
        <v>13</v>
      </c>
      <c r="E11" s="264">
        <v>26990</v>
      </c>
      <c r="F11" s="331"/>
      <c r="G11" s="46"/>
    </row>
    <row r="12" spans="1:7" ht="16.5" customHeight="1" x14ac:dyDescent="0.25">
      <c r="A12" s="328">
        <v>437700</v>
      </c>
      <c r="B12" s="308" t="s">
        <v>514</v>
      </c>
      <c r="C12" s="170" t="s">
        <v>6</v>
      </c>
      <c r="D12" s="170" t="s">
        <v>183</v>
      </c>
      <c r="E12" s="264">
        <v>26990</v>
      </c>
      <c r="F12" s="46" t="s">
        <v>515</v>
      </c>
    </row>
    <row r="13" spans="1:7" ht="16.5" customHeight="1" x14ac:dyDescent="0.25">
      <c r="A13" s="328">
        <v>437900</v>
      </c>
      <c r="B13" s="332" t="s">
        <v>516</v>
      </c>
      <c r="C13" s="170" t="s">
        <v>6</v>
      </c>
      <c r="D13" s="170" t="s">
        <v>183</v>
      </c>
      <c r="E13" s="264">
        <v>25990</v>
      </c>
      <c r="F13" s="46" t="s">
        <v>517</v>
      </c>
    </row>
    <row r="14" spans="1:7" ht="16.5" customHeight="1" x14ac:dyDescent="0.25">
      <c r="A14" s="328">
        <v>437800</v>
      </c>
      <c r="B14" s="332" t="s">
        <v>698</v>
      </c>
      <c r="C14" s="170" t="s">
        <v>6</v>
      </c>
      <c r="D14" s="170" t="s">
        <v>9</v>
      </c>
      <c r="E14" s="264">
        <v>25990</v>
      </c>
      <c r="F14" s="46" t="s">
        <v>519</v>
      </c>
    </row>
    <row r="15" spans="1:7" ht="16.5" customHeight="1" x14ac:dyDescent="0.25">
      <c r="A15" s="328">
        <v>436600</v>
      </c>
      <c r="B15" s="308" t="s">
        <v>503</v>
      </c>
      <c r="C15" s="110" t="s">
        <v>6</v>
      </c>
      <c r="D15" s="114" t="s">
        <v>9</v>
      </c>
      <c r="E15" s="264">
        <v>25990</v>
      </c>
    </row>
    <row r="16" spans="1:7" ht="16.5" customHeight="1" x14ac:dyDescent="0.25">
      <c r="A16" s="328">
        <v>436600</v>
      </c>
      <c r="B16" s="308" t="s">
        <v>504</v>
      </c>
      <c r="C16" s="110" t="s">
        <v>6</v>
      </c>
      <c r="D16" s="114" t="s">
        <v>9</v>
      </c>
      <c r="E16" s="264">
        <v>25990</v>
      </c>
    </row>
    <row r="17" spans="1:5" ht="16.5" customHeight="1" x14ac:dyDescent="0.25">
      <c r="A17" s="328">
        <v>436600</v>
      </c>
      <c r="B17" s="308" t="s">
        <v>505</v>
      </c>
      <c r="C17" s="110" t="s">
        <v>6</v>
      </c>
      <c r="D17" s="114" t="s">
        <v>9</v>
      </c>
      <c r="E17" s="264">
        <v>25990</v>
      </c>
    </row>
    <row r="18" spans="1:5" ht="16.5" customHeight="1" x14ac:dyDescent="0.25">
      <c r="A18" s="328">
        <v>436600</v>
      </c>
      <c r="B18" s="308" t="s">
        <v>506</v>
      </c>
      <c r="C18" s="110" t="s">
        <v>6</v>
      </c>
      <c r="D18" s="114" t="s">
        <v>9</v>
      </c>
      <c r="E18" s="264">
        <v>25990</v>
      </c>
    </row>
    <row r="19" spans="1:5" ht="16.5" customHeight="1" x14ac:dyDescent="0.25">
      <c r="A19" s="328">
        <v>436600</v>
      </c>
      <c r="B19" s="308" t="s">
        <v>507</v>
      </c>
      <c r="C19" s="110" t="s">
        <v>6</v>
      </c>
      <c r="D19" s="114" t="s">
        <v>9</v>
      </c>
      <c r="E19" s="264">
        <v>25990</v>
      </c>
    </row>
    <row r="20" spans="1:5" ht="16.5" customHeight="1" x14ac:dyDescent="0.25">
      <c r="A20" s="328">
        <v>436600</v>
      </c>
      <c r="B20" s="308" t="s">
        <v>699</v>
      </c>
      <c r="C20" s="110" t="s">
        <v>6</v>
      </c>
      <c r="D20" s="114" t="s">
        <v>9</v>
      </c>
      <c r="E20" s="264">
        <v>25990</v>
      </c>
    </row>
  </sheetData>
  <pageMargins left="0.70866141732283472" right="0.70866141732283472" top="0.74803149606299213" bottom="0.74803149606299213" header="0.31496062992125978" footer="0.31496062992125978"/>
  <pageSetup scale="87" orientation="landscape" horizontalDpi="360" verticalDpi="36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 t="s">
        <v>812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756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758</v>
      </c>
      <c r="Y100" s="66">
        <v>284</v>
      </c>
      <c r="Z100" s="66">
        <v>474</v>
      </c>
      <c r="AA100" s="93">
        <v>0.37467018469656987</v>
      </c>
      <c r="AB100" s="98">
        <v>18103342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758</v>
      </c>
      <c r="Y101" s="66">
        <v>284</v>
      </c>
      <c r="Z101" s="66">
        <v>474</v>
      </c>
      <c r="AA101" s="93">
        <v>0.37467018469656987</v>
      </c>
      <c r="AB101" s="98">
        <v>18103342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758</v>
      </c>
      <c r="Y102" s="66">
        <v>284</v>
      </c>
      <c r="Z102" s="66">
        <v>474</v>
      </c>
      <c r="AA102" s="93">
        <v>0.37467018469656987</v>
      </c>
      <c r="AB102" s="98">
        <v>18103342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0.37467018469656987</v>
      </c>
      <c r="AB103" s="98">
        <v>18103342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0.37467018469656987</v>
      </c>
      <c r="AB104" s="98">
        <v>18103342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0.37467018469656987</v>
      </c>
      <c r="AB105" s="98">
        <v>18103342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0.20666666666666669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0.46296296296296302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700-000000000000}"/>
    <hyperlink ref="H15" r:id="rId2" xr:uid="{00000000-0004-0000-0700-000001000000}"/>
    <hyperlink ref="H16" r:id="rId3" xr:uid="{00000000-0004-0000-0700-000002000000}"/>
    <hyperlink ref="H17" r:id="rId4" xr:uid="{00000000-0004-0000-0700-000003000000}"/>
    <hyperlink ref="H19" r:id="rId5" xr:uid="{00000000-0004-0000-0700-000004000000}"/>
    <hyperlink ref="H28" r:id="rId6" xr:uid="{00000000-0004-0000-0700-000005000000}"/>
    <hyperlink ref="H34" r:id="rId7" xr:uid="{00000000-0004-0000-0700-000006000000}"/>
    <hyperlink ref="H39" r:id="rId8" xr:uid="{00000000-0004-0000-0700-000007000000}"/>
    <hyperlink ref="H45" r:id="rId9" xr:uid="{00000000-0004-0000-0700-000008000000}"/>
    <hyperlink ref="H46" r:id="rId10" xr:uid="{00000000-0004-0000-0700-000009000000}"/>
    <hyperlink ref="H47" r:id="rId11" xr:uid="{00000000-0004-0000-0700-00000A000000}"/>
    <hyperlink ref="H52" r:id="rId12" xr:uid="{00000000-0004-0000-0700-00000B000000}"/>
    <hyperlink ref="H55" r:id="rId13" xr:uid="{00000000-0004-0000-0700-00000C000000}"/>
    <hyperlink ref="H58" r:id="rId14" display="BOUTIQUELOSCISNES@GMAIL.COM     " xr:uid="{00000000-0004-0000-0700-00000D000000}"/>
    <hyperlink ref="H60" r:id="rId15" xr:uid="{00000000-0004-0000-0700-00000E000000}"/>
    <hyperlink ref="H62" r:id="rId16" xr:uid="{00000000-0004-0000-0700-00000F000000}"/>
    <hyperlink ref="H65" r:id="rId17" xr:uid="{00000000-0004-0000-0700-000010000000}"/>
    <hyperlink ref="H69" r:id="rId18" display="tiendayuly@patagoniachile.cl    " xr:uid="{00000000-0004-0000-0700-000011000000}"/>
    <hyperlink ref="H71" r:id="rId19" display="cvegamartino@gmail.com        " xr:uid="{00000000-0004-0000-0700-000012000000}"/>
    <hyperlink ref="H72" r:id="rId20" display="e.anabalon@mawi.cl" xr:uid="{00000000-0004-0000-0700-000013000000}"/>
    <hyperlink ref="H75" r:id="rId21" display="tiendascycecilia@gmail.com     " xr:uid="{00000000-0004-0000-0700-000014000000}"/>
    <hyperlink ref="H77" r:id="rId22" display="SAHARAANGOL@GMAIL.COM" xr:uid="{00000000-0004-0000-0700-000015000000}"/>
    <hyperlink ref="H81" r:id="rId23" xr:uid="{00000000-0004-0000-0700-000016000000}"/>
    <hyperlink ref="H83" r:id="rId24" xr:uid="{00000000-0004-0000-0700-000017000000}"/>
    <hyperlink ref="H84" r:id="rId25" xr:uid="{00000000-0004-0000-0700-000018000000}"/>
    <hyperlink ref="H85" r:id="rId26" xr:uid="{00000000-0004-0000-0700-000019000000}"/>
    <hyperlink ref="H86" r:id="rId27" xr:uid="{00000000-0004-0000-0700-00001A000000}"/>
    <hyperlink ref="H88" r:id="rId28" xr:uid="{00000000-0004-0000-0700-00001B000000}"/>
    <hyperlink ref="H89" r:id="rId29" xr:uid="{00000000-0004-0000-0700-00001C000000}"/>
    <hyperlink ref="H93" r:id="rId30" xr:uid="{00000000-0004-0000-0700-00001D000000}"/>
    <hyperlink ref="H98" r:id="rId31" xr:uid="{00000000-0004-0000-0700-00001E000000}"/>
    <hyperlink ref="H99" r:id="rId32" xr:uid="{00000000-0004-0000-0700-00001F000000}"/>
    <hyperlink ref="H106" r:id="rId33" xr:uid="{00000000-0004-0000-0700-000020000000}"/>
    <hyperlink ref="H110" r:id="rId34" xr:uid="{00000000-0004-0000-0700-000021000000}"/>
    <hyperlink ref="H111" r:id="rId35" xr:uid="{00000000-0004-0000-0700-000022000000}"/>
    <hyperlink ref="H112" r:id="rId36" xr:uid="{00000000-0004-0000-0700-000023000000}"/>
    <hyperlink ref="H114" r:id="rId37" xr:uid="{00000000-0004-0000-0700-000024000000}"/>
    <hyperlink ref="H115" r:id="rId38" xr:uid="{00000000-0004-0000-0700-000025000000}"/>
    <hyperlink ref="H117" r:id="rId39" xr:uid="{00000000-0004-0000-0700-000026000000}"/>
    <hyperlink ref="H121" r:id="rId40" xr:uid="{00000000-0004-0000-0700-000027000000}"/>
    <hyperlink ref="H124" r:id="rId41" xr:uid="{00000000-0004-0000-0700-000028000000}"/>
    <hyperlink ref="H128" r:id="rId42" xr:uid="{00000000-0004-0000-0700-000029000000}"/>
    <hyperlink ref="H130" r:id="rId43" xr:uid="{00000000-0004-0000-0700-00002A000000}"/>
    <hyperlink ref="H133" r:id="rId44" display="joyas_veronica@hotmail.com    " xr:uid="{00000000-0004-0000-0700-00002B000000}"/>
    <hyperlink ref="H134" r:id="rId45" xr:uid="{00000000-0004-0000-0700-00002C000000}"/>
    <hyperlink ref="H135" r:id="rId46" xr:uid="{00000000-0004-0000-0700-00002D000000}"/>
    <hyperlink ref="H136" r:id="rId47" display="TIENDAJOSSELIN@HOTMAIL.COM    " xr:uid="{00000000-0004-0000-0700-00002E000000}"/>
    <hyperlink ref="H137" r:id="rId48" xr:uid="{00000000-0004-0000-0700-00002F000000}"/>
    <hyperlink ref="H138" r:id="rId49" xr:uid="{00000000-0004-0000-0700-000030000000}"/>
    <hyperlink ref="H139" r:id="rId50" xr:uid="{00000000-0004-0000-0700-000031000000}"/>
    <hyperlink ref="H140" r:id="rId51" xr:uid="{00000000-0004-0000-0700-000032000000}"/>
    <hyperlink ref="H141" r:id="rId52" xr:uid="{00000000-0004-0000-0700-000033000000}"/>
    <hyperlink ref="H142" r:id="rId53" xr:uid="{00000000-0004-0000-0700-000034000000}"/>
    <hyperlink ref="H143" r:id="rId54" xr:uid="{00000000-0004-0000-0700-000035000000}"/>
    <hyperlink ref="H144" r:id="rId55" xr:uid="{00000000-0004-0000-0700-000036000000}"/>
    <hyperlink ref="I144" r:id="rId56" xr:uid="{00000000-0004-0000-0700-000037000000}"/>
    <hyperlink ref="H145" r:id="rId57" xr:uid="{00000000-0004-0000-0700-000038000000}"/>
    <hyperlink ref="H147" r:id="rId58" xr:uid="{00000000-0004-0000-0700-000039000000}"/>
    <hyperlink ref="H148" r:id="rId59" xr:uid="{00000000-0004-0000-0700-00003A000000}"/>
    <hyperlink ref="H149" r:id="rId60" xr:uid="{00000000-0004-0000-0700-00003B000000}"/>
    <hyperlink ref="H152" r:id="rId61" xr:uid="{00000000-0004-0000-0700-00003C000000}"/>
    <hyperlink ref="H153" r:id="rId62" xr:uid="{00000000-0004-0000-0700-00003D000000}"/>
    <hyperlink ref="H154" r:id="rId63" xr:uid="{00000000-0004-0000-0700-00003E000000}"/>
    <hyperlink ref="H155" r:id="rId64" xr:uid="{00000000-0004-0000-0700-00003F000000}"/>
    <hyperlink ref="H157" r:id="rId65" xr:uid="{00000000-0004-0000-0700-000040000000}"/>
    <hyperlink ref="H160" r:id="rId66" xr:uid="{00000000-0004-0000-0700-000041000000}"/>
    <hyperlink ref="H165" r:id="rId67" xr:uid="{00000000-0004-0000-0700-000042000000}"/>
    <hyperlink ref="H166" r:id="rId68" xr:uid="{00000000-0004-0000-0700-000043000000}"/>
  </hyperlinks>
  <pageMargins left="0.7" right="0.7" top="0.75" bottom="0.75" header="0.3" footer="0.3"/>
  <pageSetup orientation="portrait"/>
  <legacyDrawing r:id="rId69"/>
  <tableParts count="1">
    <tablePart r:id="rId70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FFC000"/>
  </sheetPr>
  <dimension ref="A1:AC167"/>
  <sheetViews>
    <sheetView showGridLines="0" zoomScale="120" zoomScaleNormal="120" workbookViewId="0">
      <pane xSplit="3" ySplit="3" topLeftCell="K4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C12" sqref="C1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505</v>
      </c>
      <c r="Y4" s="89">
        <v>438</v>
      </c>
      <c r="Z4" s="89">
        <f t="shared" ref="Z4:Z35" si="0"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89">
        <f t="shared" si="0"/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>
        <v>3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1949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49</v>
      </c>
      <c r="Y36" s="66">
        <v>40</v>
      </c>
      <c r="Z36" s="89">
        <f t="shared" ref="Z36:Z67" si="1">SUM(X36-Y36)</f>
        <v>9</v>
      </c>
      <c r="AA36" s="93">
        <v>0.96551724137931039</v>
      </c>
      <c r="AB36" s="98">
        <v>1006600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89">
        <f t="shared" si="1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106</v>
      </c>
      <c r="Y38" s="66">
        <v>95</v>
      </c>
      <c r="Z38" s="89">
        <f t="shared" si="1"/>
        <v>11</v>
      </c>
      <c r="AA38" s="93">
        <v>0.86301369863013699</v>
      </c>
      <c r="AB38" s="98">
        <v>2438050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623</v>
      </c>
      <c r="Y39" s="66">
        <v>497</v>
      </c>
      <c r="Z39" s="89">
        <f t="shared" si="1"/>
        <v>126</v>
      </c>
      <c r="AA39" s="93">
        <v>0.9291666666666667</v>
      </c>
      <c r="AB39" s="98">
        <v>12767030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397</v>
      </c>
      <c r="Y40" s="66">
        <v>380</v>
      </c>
      <c r="Z40" s="89">
        <f t="shared" si="1"/>
        <v>17</v>
      </c>
      <c r="AA40" s="93">
        <v>0.9850746268656716</v>
      </c>
      <c r="AB40" s="98">
        <v>9639200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70</v>
      </c>
      <c r="Y41" s="66">
        <v>57</v>
      </c>
      <c r="Z41" s="89">
        <f t="shared" si="1"/>
        <v>13</v>
      </c>
      <c r="AA41" s="93">
        <v>0.99450549450549453</v>
      </c>
      <c r="AB41" s="98">
        <v>1447430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89">
        <f t="shared" si="1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89">
        <f t="shared" si="1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1"/>
        <v>0</v>
      </c>
      <c r="AA44" s="93">
        <v>0.75409836065573765</v>
      </c>
      <c r="AB44" s="98">
        <v>103960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366</v>
      </c>
      <c r="Y45" s="66">
        <v>340</v>
      </c>
      <c r="Z45" s="89">
        <f t="shared" si="1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89">
        <f t="shared" si="1"/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89">
        <f t="shared" si="1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1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216</v>
      </c>
      <c r="Y49" s="66">
        <v>125</v>
      </c>
      <c r="Z49" s="89">
        <f t="shared" si="1"/>
        <v>91</v>
      </c>
      <c r="AA49" s="93">
        <v>0.27500000000000002</v>
      </c>
      <c r="AB49" s="98">
        <v>3276750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89">
        <f t="shared" si="1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89">
        <f t="shared" si="1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89">
        <f t="shared" si="1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1"/>
        <v>23</v>
      </c>
      <c r="AA53" s="93">
        <v>0.8441558441558441</v>
      </c>
      <c r="AB53" s="98">
        <v>1740310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104</v>
      </c>
      <c r="Y54" s="66">
        <v>93</v>
      </c>
      <c r="Z54" s="89">
        <f t="shared" si="1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166</v>
      </c>
      <c r="Y55" s="66">
        <v>163</v>
      </c>
      <c r="Z55" s="89">
        <f t="shared" si="1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89">
        <f t="shared" si="1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89">
        <f t="shared" si="1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83</v>
      </c>
      <c r="Y58" s="66">
        <v>96</v>
      </c>
      <c r="Z58" s="89">
        <f t="shared" si="1"/>
        <v>-13</v>
      </c>
      <c r="AA58" s="93">
        <v>0.81481481481481477</v>
      </c>
      <c r="AB58" s="98">
        <v>2446040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364</v>
      </c>
      <c r="Y59" s="66">
        <v>356</v>
      </c>
      <c r="Z59" s="89">
        <f t="shared" si="1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364</v>
      </c>
      <c r="Y60" s="66">
        <v>356</v>
      </c>
      <c r="Z60" s="89">
        <f t="shared" si="1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60</v>
      </c>
      <c r="Y61" s="66">
        <v>44</v>
      </c>
      <c r="Z61" s="89">
        <f t="shared" si="1"/>
        <v>16</v>
      </c>
      <c r="AA61" s="93">
        <v>0</v>
      </c>
      <c r="AB61" s="98">
        <v>1099560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1292</v>
      </c>
      <c r="Y62" s="66">
        <v>1159</v>
      </c>
      <c r="Z62" s="89">
        <f t="shared" si="1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1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89">
        <f t="shared" si="1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89">
        <f t="shared" si="1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143</v>
      </c>
      <c r="Y66" s="66">
        <v>74</v>
      </c>
      <c r="Z66" s="89">
        <f t="shared" si="1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89">
        <f t="shared" si="1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79</v>
      </c>
      <c r="Y68" s="66">
        <v>51</v>
      </c>
      <c r="Z68" s="89">
        <f t="shared" ref="Z68:Z99" si="2">SUM(X68-Y68)</f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277</v>
      </c>
      <c r="Y69" s="66">
        <v>252</v>
      </c>
      <c r="Z69" s="89">
        <f t="shared" si="2"/>
        <v>25</v>
      </c>
      <c r="AA69" s="93">
        <v>0.75694444444444442</v>
      </c>
      <c r="AB69" s="98">
        <v>6335480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2"/>
        <v>54</v>
      </c>
      <c r="AA70" s="93">
        <v>0.73563218390804597</v>
      </c>
      <c r="AB70" s="98">
        <v>3197750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394</v>
      </c>
      <c r="Y71" s="66">
        <v>349</v>
      </c>
      <c r="Z71" s="89">
        <f t="shared" si="2"/>
        <v>45</v>
      </c>
      <c r="AA71" s="93">
        <v>0.84649122807017541</v>
      </c>
      <c r="AB71" s="98">
        <v>9101510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770</v>
      </c>
      <c r="Y72" s="66">
        <v>703</v>
      </c>
      <c r="Z72" s="89">
        <f t="shared" si="2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144</v>
      </c>
      <c r="Y73" s="66">
        <v>130</v>
      </c>
      <c r="Z73" s="89">
        <f t="shared" si="2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2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119</v>
      </c>
      <c r="Y75" s="66">
        <v>116</v>
      </c>
      <c r="Z75" s="89">
        <f t="shared" si="2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89">
        <f t="shared" si="2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2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195</v>
      </c>
      <c r="Y78" s="66">
        <v>166</v>
      </c>
      <c r="Z78" s="89">
        <f t="shared" si="2"/>
        <v>29</v>
      </c>
      <c r="AA78" s="93">
        <v>0.73796791443850263</v>
      </c>
      <c r="AB78" s="98">
        <v>4271340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2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658</v>
      </c>
      <c r="Y80" s="66">
        <v>488</v>
      </c>
      <c r="Z80" s="89">
        <f t="shared" si="2"/>
        <v>170</v>
      </c>
      <c r="AA80" s="93">
        <v>0.72867587327376115</v>
      </c>
      <c r="AB80" s="98">
        <v>12597120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540</v>
      </c>
      <c r="Y81" s="66">
        <v>444</v>
      </c>
      <c r="Z81" s="89">
        <f t="shared" si="2"/>
        <v>96</v>
      </c>
      <c r="AA81" s="93">
        <v>0.1013333333333333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2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2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252</v>
      </c>
      <c r="Y84" s="66">
        <v>219</v>
      </c>
      <c r="Z84" s="89">
        <f t="shared" si="2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464</v>
      </c>
      <c r="Y85" s="66">
        <v>421</v>
      </c>
      <c r="Z85" s="89">
        <f t="shared" si="2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168</v>
      </c>
      <c r="Y86" s="66">
        <v>148</v>
      </c>
      <c r="Z86" s="89">
        <f t="shared" si="2"/>
        <v>20</v>
      </c>
      <c r="AA86" s="93">
        <v>0.78321678321678323</v>
      </c>
      <c r="AB86" s="98">
        <v>3768520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119</v>
      </c>
      <c r="Y87" s="66">
        <v>111</v>
      </c>
      <c r="Z87" s="89">
        <f t="shared" si="2"/>
        <v>8</v>
      </c>
      <c r="AA87" s="93">
        <v>0.83132530120481929</v>
      </c>
      <c r="AB87" s="98">
        <v>2824890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89">
        <f t="shared" si="2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2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89">
        <f t="shared" si="2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2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89">
        <f t="shared" si="2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291</v>
      </c>
      <c r="Y93" s="66">
        <v>177</v>
      </c>
      <c r="Z93" s="89">
        <f t="shared" si="2"/>
        <v>114</v>
      </c>
      <c r="AA93" s="93">
        <v>0.86538461538461542</v>
      </c>
      <c r="AB93" s="98">
        <v>4610230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2"/>
        <v>30</v>
      </c>
      <c r="AA94" s="93">
        <v>0.91390728476821192</v>
      </c>
      <c r="AB94" s="98">
        <v>5651830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129</v>
      </c>
      <c r="Y95" s="66">
        <v>115</v>
      </c>
      <c r="Z95" s="89">
        <f t="shared" si="2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2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240</v>
      </c>
      <c r="Y97" s="66">
        <v>234</v>
      </c>
      <c r="Z97" s="89">
        <f t="shared" si="2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2190</v>
      </c>
      <c r="Y98" s="66">
        <v>2046</v>
      </c>
      <c r="Z98" s="89">
        <f t="shared" si="2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2"/>
        <v>11</v>
      </c>
      <c r="AA99" s="93">
        <v>0.80555555555555558</v>
      </c>
      <c r="AB99" s="98">
        <v>4045430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367</v>
      </c>
      <c r="Y100" s="66">
        <v>330</v>
      </c>
      <c r="Z100" s="89">
        <f t="shared" ref="Z100:Z124" si="3">SUM(X100-Y100)</f>
        <v>37</v>
      </c>
      <c r="AA100" s="93">
        <v>0.37467018469656987</v>
      </c>
      <c r="AB100" s="98">
        <v>8543700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367</v>
      </c>
      <c r="Y101" s="66">
        <v>330</v>
      </c>
      <c r="Z101" s="89">
        <f t="shared" si="3"/>
        <v>37</v>
      </c>
      <c r="AA101" s="93">
        <v>0.37467018469656987</v>
      </c>
      <c r="AB101" s="98">
        <v>8543700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367</v>
      </c>
      <c r="Y102" s="66">
        <v>330</v>
      </c>
      <c r="Z102" s="89">
        <f t="shared" si="3"/>
        <v>37</v>
      </c>
      <c r="AA102" s="93">
        <v>0.37467018469656987</v>
      </c>
      <c r="AB102" s="98">
        <v>8543700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367</v>
      </c>
      <c r="Y103" s="66">
        <v>330</v>
      </c>
      <c r="Z103" s="89">
        <f t="shared" si="3"/>
        <v>37</v>
      </c>
      <c r="AA103" s="93">
        <v>0.37467018469656987</v>
      </c>
      <c r="AB103" s="98">
        <v>8543700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367</v>
      </c>
      <c r="Y104" s="66">
        <v>330</v>
      </c>
      <c r="Z104" s="89">
        <f t="shared" si="3"/>
        <v>37</v>
      </c>
      <c r="AA104" s="93">
        <v>0.37467018469656987</v>
      </c>
      <c r="AB104" s="98">
        <v>8543700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367</v>
      </c>
      <c r="Y105" s="66">
        <v>330</v>
      </c>
      <c r="Z105" s="89">
        <f t="shared" si="3"/>
        <v>37</v>
      </c>
      <c r="AA105" s="93">
        <v>0.37467018469656987</v>
      </c>
      <c r="AB105" s="98">
        <v>8543700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152</v>
      </c>
      <c r="Y106" s="66">
        <v>133</v>
      </c>
      <c r="Z106" s="89">
        <f t="shared" si="3"/>
        <v>19</v>
      </c>
      <c r="AA106" s="93">
        <v>0.87735849056603776</v>
      </c>
      <c r="AB106" s="98">
        <v>3323670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89">
        <f t="shared" si="3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3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3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1254</v>
      </c>
      <c r="Y110" s="66">
        <v>1102</v>
      </c>
      <c r="Z110" s="89">
        <f t="shared" si="3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50</v>
      </c>
      <c r="Y111" s="66">
        <v>49</v>
      </c>
      <c r="Z111" s="89">
        <f t="shared" si="3"/>
        <v>1</v>
      </c>
      <c r="AA111" s="93">
        <v>0.92156862745098034</v>
      </c>
      <c r="AB111" s="98">
        <v>1224510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481</v>
      </c>
      <c r="Y112" s="66">
        <v>454</v>
      </c>
      <c r="Z112" s="89">
        <f t="shared" si="3"/>
        <v>27</v>
      </c>
      <c r="AA112" s="93">
        <v>0.85539215686274506</v>
      </c>
      <c r="AB112" s="98">
        <v>11679460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89">
        <f t="shared" si="3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3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89">
        <f t="shared" si="3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640</v>
      </c>
      <c r="Y116" s="66">
        <v>534</v>
      </c>
      <c r="Z116" s="89">
        <f t="shared" si="3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1848</v>
      </c>
      <c r="Y117" s="66">
        <v>1781</v>
      </c>
      <c r="Z117" s="89">
        <f t="shared" si="3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89">
        <f t="shared" si="3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89">
        <f t="shared" si="3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3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780</v>
      </c>
      <c r="Y121" s="66">
        <v>704</v>
      </c>
      <c r="Z121" s="89">
        <f t="shared" si="3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89">
        <f t="shared" si="3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3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3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89">
        <f>SUM(X126-Y126)</f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4">SUM(X129-Y129)</f>
        <v>50</v>
      </c>
      <c r="AA129" s="93">
        <v>0.73255813953488369</v>
      </c>
      <c r="AB129" s="98">
        <v>10290040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4"/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79</v>
      </c>
      <c r="Y131" s="66">
        <v>72</v>
      </c>
      <c r="Z131" s="89">
        <f t="shared" si="4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4"/>
        <v>89</v>
      </c>
      <c r="AA132" s="93">
        <v>0.20666666666666669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67</v>
      </c>
      <c r="Y133" s="66">
        <v>60</v>
      </c>
      <c r="Z133" s="89">
        <f t="shared" si="4"/>
        <v>7</v>
      </c>
      <c r="AA133" s="93">
        <v>0.46296296296296302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4"/>
        <v>31</v>
      </c>
      <c r="AA134" s="93">
        <v>0.76136363636363635</v>
      </c>
      <c r="AB134" s="98">
        <v>6752380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192</v>
      </c>
      <c r="Y138" s="66">
        <v>163</v>
      </c>
      <c r="Z138" s="89">
        <f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445</v>
      </c>
      <c r="Y142" s="66">
        <v>241</v>
      </c>
      <c r="Z142" s="89">
        <f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259</v>
      </c>
      <c r="Y143" s="66">
        <v>137</v>
      </c>
      <c r="Z143" s="89">
        <f>SUM(X143-Y143)</f>
        <v>122</v>
      </c>
      <c r="AA143" s="93">
        <v>0.33333333333333331</v>
      </c>
      <c r="AB143" s="98">
        <v>3517630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127</v>
      </c>
      <c r="Y145" s="66">
        <v>127</v>
      </c>
      <c r="Z145" s="89">
        <f>SUM(X145-Y145)</f>
        <v>0</v>
      </c>
      <c r="AA145" s="93">
        <v>0.75</v>
      </c>
      <c r="AB145" s="98">
        <v>3291730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304</v>
      </c>
      <c r="Y148" s="66">
        <v>269</v>
      </c>
      <c r="Z148" s="89">
        <f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>SUM(X149-Y149)</f>
        <v>122</v>
      </c>
      <c r="AA149" s="93">
        <v>0.64026402640264024</v>
      </c>
      <c r="AB149" s="98">
        <v>6612410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>SUM(X150-Y150)</f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62" si="5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182</v>
      </c>
      <c r="Y154" s="66">
        <v>178</v>
      </c>
      <c r="Z154" s="89">
        <f t="shared" si="5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266</v>
      </c>
      <c r="Y155" s="66">
        <v>258</v>
      </c>
      <c r="Z155" s="89">
        <f t="shared" si="5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119</v>
      </c>
      <c r="Y156" s="66">
        <v>111</v>
      </c>
      <c r="Z156" s="89">
        <f t="shared" si="5"/>
        <v>8</v>
      </c>
      <c r="AA156" s="93">
        <v>0.83132530120481929</v>
      </c>
      <c r="AB156" s="98">
        <v>2824890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141</v>
      </c>
      <c r="Y157" s="66">
        <v>129</v>
      </c>
      <c r="Z157" s="89">
        <f t="shared" si="5"/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5"/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96</v>
      </c>
      <c r="Y159" s="66">
        <v>82</v>
      </c>
      <c r="Z159" s="89">
        <f t="shared" si="5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5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5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5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>SUM(X165-Y165)</f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800-000000000000}"/>
    <hyperlink ref="H15" r:id="rId2" xr:uid="{00000000-0004-0000-0800-000001000000}"/>
    <hyperlink ref="H16" r:id="rId3" xr:uid="{00000000-0004-0000-0800-000002000000}"/>
    <hyperlink ref="H17" r:id="rId4" xr:uid="{00000000-0004-0000-0800-000003000000}"/>
    <hyperlink ref="H19" r:id="rId5" xr:uid="{00000000-0004-0000-0800-000004000000}"/>
    <hyperlink ref="H28" r:id="rId6" xr:uid="{00000000-0004-0000-0800-000005000000}"/>
    <hyperlink ref="H34" r:id="rId7" xr:uid="{00000000-0004-0000-0800-000006000000}"/>
    <hyperlink ref="H39" r:id="rId8" xr:uid="{00000000-0004-0000-0800-000007000000}"/>
    <hyperlink ref="H45" r:id="rId9" xr:uid="{00000000-0004-0000-0800-000008000000}"/>
    <hyperlink ref="H46" r:id="rId10" xr:uid="{00000000-0004-0000-0800-000009000000}"/>
    <hyperlink ref="H47" r:id="rId11" xr:uid="{00000000-0004-0000-0800-00000A000000}"/>
    <hyperlink ref="H52" r:id="rId12" xr:uid="{00000000-0004-0000-0800-00000B000000}"/>
    <hyperlink ref="H55" r:id="rId13" xr:uid="{00000000-0004-0000-0800-00000C000000}"/>
    <hyperlink ref="H58" r:id="rId14" display="BOUTIQUELOSCISNES@GMAIL.COM     " xr:uid="{00000000-0004-0000-0800-00000D000000}"/>
    <hyperlink ref="H60" r:id="rId15" xr:uid="{00000000-0004-0000-0800-00000E000000}"/>
    <hyperlink ref="H62" r:id="rId16" xr:uid="{00000000-0004-0000-0800-00000F000000}"/>
    <hyperlink ref="H65" r:id="rId17" xr:uid="{00000000-0004-0000-0800-000010000000}"/>
    <hyperlink ref="H69" r:id="rId18" display="tiendayuly@patagoniachile.cl    " xr:uid="{00000000-0004-0000-0800-000011000000}"/>
    <hyperlink ref="H71" r:id="rId19" display="cvegamartino@gmail.com        " xr:uid="{00000000-0004-0000-0800-000012000000}"/>
    <hyperlink ref="H72" r:id="rId20" display="e.anabalon@mawi.cl" xr:uid="{00000000-0004-0000-0800-000013000000}"/>
    <hyperlink ref="H75" r:id="rId21" display="tiendascycecilia@gmail.com     " xr:uid="{00000000-0004-0000-0800-000014000000}"/>
    <hyperlink ref="H77" r:id="rId22" display="SAHARAANGOL@GMAIL.COM" xr:uid="{00000000-0004-0000-0800-000015000000}"/>
    <hyperlink ref="H81" r:id="rId23" xr:uid="{00000000-0004-0000-0800-000016000000}"/>
    <hyperlink ref="H83" r:id="rId24" xr:uid="{00000000-0004-0000-0800-000017000000}"/>
    <hyperlink ref="H84" r:id="rId25" xr:uid="{00000000-0004-0000-0800-000018000000}"/>
    <hyperlink ref="H85" r:id="rId26" xr:uid="{00000000-0004-0000-0800-000019000000}"/>
    <hyperlink ref="H86" r:id="rId27" xr:uid="{00000000-0004-0000-0800-00001A000000}"/>
    <hyperlink ref="H88" r:id="rId28" xr:uid="{00000000-0004-0000-0800-00001B000000}"/>
    <hyperlink ref="H89" r:id="rId29" xr:uid="{00000000-0004-0000-0800-00001C000000}"/>
    <hyperlink ref="H93" r:id="rId30" xr:uid="{00000000-0004-0000-0800-00001D000000}"/>
    <hyperlink ref="H98" r:id="rId31" xr:uid="{00000000-0004-0000-0800-00001E000000}"/>
    <hyperlink ref="H99" r:id="rId32" xr:uid="{00000000-0004-0000-0800-00001F000000}"/>
    <hyperlink ref="H106" r:id="rId33" xr:uid="{00000000-0004-0000-0800-000020000000}"/>
    <hyperlink ref="H110" r:id="rId34" xr:uid="{00000000-0004-0000-0800-000021000000}"/>
    <hyperlink ref="H111" r:id="rId35" xr:uid="{00000000-0004-0000-0800-000022000000}"/>
    <hyperlink ref="H112" r:id="rId36" xr:uid="{00000000-0004-0000-0800-000023000000}"/>
    <hyperlink ref="H114" r:id="rId37" xr:uid="{00000000-0004-0000-0800-000024000000}"/>
    <hyperlink ref="H115" r:id="rId38" xr:uid="{00000000-0004-0000-0800-000025000000}"/>
    <hyperlink ref="H117" r:id="rId39" xr:uid="{00000000-0004-0000-0800-000026000000}"/>
    <hyperlink ref="H121" r:id="rId40" xr:uid="{00000000-0004-0000-0800-000027000000}"/>
    <hyperlink ref="H124" r:id="rId41" xr:uid="{00000000-0004-0000-0800-000028000000}"/>
    <hyperlink ref="H128" r:id="rId42" xr:uid="{00000000-0004-0000-0800-000029000000}"/>
    <hyperlink ref="H130" r:id="rId43" xr:uid="{00000000-0004-0000-0800-00002A000000}"/>
    <hyperlink ref="H133" r:id="rId44" display="joyas_veronica@hotmail.com    " xr:uid="{00000000-0004-0000-0800-00002B000000}"/>
    <hyperlink ref="H134" r:id="rId45" xr:uid="{00000000-0004-0000-0800-00002C000000}"/>
    <hyperlink ref="H135" r:id="rId46" xr:uid="{00000000-0004-0000-0800-00002D000000}"/>
    <hyperlink ref="H136" r:id="rId47" display="TIENDAJOSSELIN@HOTMAIL.COM    " xr:uid="{00000000-0004-0000-0800-00002E000000}"/>
    <hyperlink ref="H137" r:id="rId48" xr:uid="{00000000-0004-0000-0800-00002F000000}"/>
    <hyperlink ref="H138" r:id="rId49" xr:uid="{00000000-0004-0000-0800-000030000000}"/>
    <hyperlink ref="H139" r:id="rId50" xr:uid="{00000000-0004-0000-0800-000031000000}"/>
    <hyperlink ref="H140" r:id="rId51" xr:uid="{00000000-0004-0000-0800-000032000000}"/>
    <hyperlink ref="H141" r:id="rId52" xr:uid="{00000000-0004-0000-0800-000033000000}"/>
    <hyperlink ref="H142" r:id="rId53" xr:uid="{00000000-0004-0000-0800-000034000000}"/>
    <hyperlink ref="H143" r:id="rId54" xr:uid="{00000000-0004-0000-0800-000035000000}"/>
    <hyperlink ref="H144" r:id="rId55" xr:uid="{00000000-0004-0000-0800-000036000000}"/>
    <hyperlink ref="I144" r:id="rId56" xr:uid="{00000000-0004-0000-0800-000037000000}"/>
    <hyperlink ref="H145" r:id="rId57" xr:uid="{00000000-0004-0000-0800-000038000000}"/>
    <hyperlink ref="H147" r:id="rId58" xr:uid="{00000000-0004-0000-0800-000039000000}"/>
    <hyperlink ref="H148" r:id="rId59" xr:uid="{00000000-0004-0000-0800-00003A000000}"/>
    <hyperlink ref="H149" r:id="rId60" xr:uid="{00000000-0004-0000-0800-00003B000000}"/>
    <hyperlink ref="H152" r:id="rId61" xr:uid="{00000000-0004-0000-0800-00003C000000}"/>
    <hyperlink ref="H153" r:id="rId62" xr:uid="{00000000-0004-0000-0800-00003D000000}"/>
    <hyperlink ref="H154" r:id="rId63" xr:uid="{00000000-0004-0000-0800-00003E000000}"/>
    <hyperlink ref="H155" r:id="rId64" xr:uid="{00000000-0004-0000-0800-00003F000000}"/>
    <hyperlink ref="H157" r:id="rId65" xr:uid="{00000000-0004-0000-0800-000040000000}"/>
    <hyperlink ref="H160" r:id="rId66" xr:uid="{00000000-0004-0000-0800-000041000000}"/>
    <hyperlink ref="H165" r:id="rId67" xr:uid="{00000000-0004-0000-0800-000042000000}"/>
    <hyperlink ref="H166" r:id="rId68" xr:uid="{00000000-0004-0000-0800-000043000000}"/>
  </hyperlinks>
  <pageMargins left="0.7" right="0.7" top="0.75" bottom="0.75" header="0.3" footer="0.3"/>
  <pageSetup paperSize="9" scale="83" fitToWidth="0" fitToHeight="0" orientation="portrait"/>
  <legacyDrawing r:id="rId69"/>
  <tableParts count="1">
    <tablePart r:id="rId70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 customWidth="1"/>
    <col min="4" max="4" width="29.88671875" customWidth="1"/>
    <col min="6" max="6" width="15.6640625" style="25" customWidth="1"/>
    <col min="7" max="7" width="16.6640625" style="265" customWidth="1"/>
    <col min="8" max="8" width="15.5546875" style="25" bestFit="1" customWidth="1"/>
    <col min="9" max="9" width="17" style="265" bestFit="1" customWidth="1"/>
  </cols>
  <sheetData>
    <row r="1" spans="1:9" x14ac:dyDescent="0.25">
      <c r="A1" t="s">
        <v>633</v>
      </c>
      <c r="B1" t="s">
        <v>628</v>
      </c>
      <c r="C1" s="25" t="s">
        <v>1950</v>
      </c>
      <c r="D1" t="s">
        <v>644</v>
      </c>
      <c r="E1" t="s">
        <v>636</v>
      </c>
      <c r="F1" s="25" t="s">
        <v>1951</v>
      </c>
      <c r="G1" s="265" t="s">
        <v>1952</v>
      </c>
      <c r="H1" s="25" t="s">
        <v>1953</v>
      </c>
      <c r="I1" s="265" t="s">
        <v>1954</v>
      </c>
    </row>
    <row r="2" spans="1:9" x14ac:dyDescent="0.25">
      <c r="A2">
        <v>48787584</v>
      </c>
      <c r="B2" t="s">
        <v>1955</v>
      </c>
      <c r="C2" s="25">
        <v>2</v>
      </c>
      <c r="D2" t="s">
        <v>1956</v>
      </c>
      <c r="E2" t="s">
        <v>1957</v>
      </c>
      <c r="F2" s="25">
        <v>505</v>
      </c>
      <c r="G2" s="265">
        <v>12867950</v>
      </c>
      <c r="H2" s="25">
        <v>438</v>
      </c>
      <c r="I2" s="265">
        <v>11150620</v>
      </c>
    </row>
    <row r="3" spans="1:9" x14ac:dyDescent="0.25">
      <c r="A3">
        <v>59133659</v>
      </c>
      <c r="B3" t="s">
        <v>1958</v>
      </c>
      <c r="C3" s="25">
        <v>6</v>
      </c>
      <c r="D3" t="s">
        <v>1959</v>
      </c>
      <c r="E3" t="s">
        <v>1960</v>
      </c>
      <c r="F3" s="25">
        <v>118</v>
      </c>
      <c r="G3" s="265">
        <v>2963820</v>
      </c>
      <c r="H3" s="25">
        <v>107</v>
      </c>
      <c r="I3" s="265">
        <v>2688930</v>
      </c>
    </row>
    <row r="4" spans="1:9" x14ac:dyDescent="0.25">
      <c r="A4">
        <v>60311234</v>
      </c>
      <c r="B4" t="s">
        <v>1961</v>
      </c>
      <c r="C4" s="25">
        <v>12</v>
      </c>
      <c r="D4" t="s">
        <v>1962</v>
      </c>
      <c r="E4" t="s">
        <v>1963</v>
      </c>
      <c r="F4" s="25">
        <v>62</v>
      </c>
      <c r="G4" s="265">
        <v>1574380</v>
      </c>
      <c r="H4" s="25">
        <v>55</v>
      </c>
      <c r="I4" s="265">
        <v>1399450</v>
      </c>
    </row>
    <row r="5" spans="1:9" x14ac:dyDescent="0.25">
      <c r="A5">
        <v>60921830</v>
      </c>
      <c r="B5" t="s">
        <v>1964</v>
      </c>
      <c r="C5" s="25">
        <v>6</v>
      </c>
      <c r="D5" t="s">
        <v>1959</v>
      </c>
      <c r="E5" t="s">
        <v>1965</v>
      </c>
      <c r="F5" s="25">
        <v>67</v>
      </c>
      <c r="G5" s="265">
        <v>1737330</v>
      </c>
      <c r="H5" s="25">
        <v>60</v>
      </c>
      <c r="I5" s="265">
        <v>1562400</v>
      </c>
    </row>
    <row r="6" spans="1:9" x14ac:dyDescent="0.25">
      <c r="A6">
        <v>63319104</v>
      </c>
      <c r="B6" t="s">
        <v>1966</v>
      </c>
      <c r="C6" s="25">
        <v>6</v>
      </c>
      <c r="D6" t="s">
        <v>1959</v>
      </c>
      <c r="E6" t="s">
        <v>1967</v>
      </c>
      <c r="F6" s="25">
        <v>71</v>
      </c>
      <c r="G6" s="265">
        <v>1821290</v>
      </c>
      <c r="H6" s="25">
        <v>65</v>
      </c>
      <c r="I6" s="265">
        <v>1665350</v>
      </c>
    </row>
    <row r="7" spans="1:9" x14ac:dyDescent="0.25">
      <c r="A7">
        <v>67999673</v>
      </c>
      <c r="B7" t="s">
        <v>1968</v>
      </c>
      <c r="C7" s="25">
        <v>2</v>
      </c>
      <c r="D7" t="s">
        <v>1956</v>
      </c>
      <c r="E7" t="s">
        <v>1969</v>
      </c>
      <c r="F7" s="25">
        <v>36</v>
      </c>
      <c r="G7" s="265">
        <v>917640</v>
      </c>
      <c r="H7" s="25">
        <v>36</v>
      </c>
      <c r="I7" s="265">
        <v>917640</v>
      </c>
    </row>
    <row r="8" spans="1:9" x14ac:dyDescent="0.25">
      <c r="A8">
        <v>70968371</v>
      </c>
      <c r="B8" t="s">
        <v>1970</v>
      </c>
      <c r="C8" s="25">
        <v>6</v>
      </c>
      <c r="D8" t="s">
        <v>1959</v>
      </c>
      <c r="E8" t="s">
        <v>1971</v>
      </c>
      <c r="F8" s="25">
        <v>130</v>
      </c>
      <c r="G8" s="265">
        <v>3367700</v>
      </c>
      <c r="H8" s="25">
        <v>125</v>
      </c>
      <c r="I8" s="265">
        <v>3238750</v>
      </c>
    </row>
    <row r="9" spans="1:9" x14ac:dyDescent="0.25">
      <c r="A9">
        <v>71650685</v>
      </c>
      <c r="B9" t="s">
        <v>1972</v>
      </c>
      <c r="C9" s="25">
        <v>2</v>
      </c>
      <c r="D9" t="s">
        <v>1956</v>
      </c>
      <c r="E9" t="s">
        <v>1973</v>
      </c>
      <c r="F9" s="25">
        <v>290</v>
      </c>
      <c r="G9" s="265">
        <v>7297100</v>
      </c>
      <c r="H9" s="25">
        <v>138</v>
      </c>
      <c r="I9" s="265">
        <v>3473620</v>
      </c>
    </row>
    <row r="10" spans="1:9" x14ac:dyDescent="0.25">
      <c r="A10">
        <v>72952936</v>
      </c>
      <c r="B10" t="s">
        <v>1974</v>
      </c>
      <c r="C10" s="25">
        <v>12</v>
      </c>
      <c r="D10" t="s">
        <v>1962</v>
      </c>
      <c r="E10" t="s">
        <v>1975</v>
      </c>
      <c r="F10" s="25">
        <v>104</v>
      </c>
      <c r="G10" s="265">
        <v>2694960</v>
      </c>
      <c r="H10" s="25">
        <v>93</v>
      </c>
      <c r="I10" s="265">
        <v>2418070</v>
      </c>
    </row>
    <row r="11" spans="1:9" x14ac:dyDescent="0.25">
      <c r="A11">
        <v>75099215</v>
      </c>
      <c r="B11" t="s">
        <v>1976</v>
      </c>
      <c r="C11" s="25">
        <v>2</v>
      </c>
      <c r="D11" t="s">
        <v>1956</v>
      </c>
      <c r="E11" t="s">
        <v>1977</v>
      </c>
      <c r="F11" s="25">
        <v>166</v>
      </c>
      <c r="G11" s="265">
        <v>4210340</v>
      </c>
      <c r="H11" s="25">
        <v>163</v>
      </c>
      <c r="I11" s="265">
        <v>4135370</v>
      </c>
    </row>
    <row r="12" spans="1:9" x14ac:dyDescent="0.25">
      <c r="A12">
        <v>76348294</v>
      </c>
      <c r="B12" t="s">
        <v>1978</v>
      </c>
      <c r="C12" s="25">
        <v>2</v>
      </c>
      <c r="D12" t="s">
        <v>1956</v>
      </c>
      <c r="E12">
        <v>2</v>
      </c>
      <c r="F12" s="25">
        <v>259</v>
      </c>
      <c r="G12" s="265">
        <v>6558410</v>
      </c>
      <c r="H12" s="25">
        <v>221</v>
      </c>
      <c r="I12" s="265">
        <v>5596790</v>
      </c>
    </row>
    <row r="13" spans="1:9" x14ac:dyDescent="0.25">
      <c r="A13">
        <v>81838518</v>
      </c>
      <c r="B13" t="s">
        <v>1979</v>
      </c>
      <c r="C13" s="25">
        <v>12</v>
      </c>
      <c r="D13" t="s">
        <v>1962</v>
      </c>
      <c r="E13" t="s">
        <v>1980</v>
      </c>
      <c r="F13" s="25">
        <v>102</v>
      </c>
      <c r="G13" s="265">
        <v>2668980</v>
      </c>
      <c r="H13" s="25">
        <v>58</v>
      </c>
      <c r="I13" s="265">
        <v>1517420</v>
      </c>
    </row>
    <row r="14" spans="1:9" x14ac:dyDescent="0.25">
      <c r="A14">
        <v>86732041</v>
      </c>
      <c r="B14" t="s">
        <v>1981</v>
      </c>
      <c r="C14" s="25">
        <v>6</v>
      </c>
      <c r="D14" t="s">
        <v>1959</v>
      </c>
      <c r="E14" t="s">
        <v>1967</v>
      </c>
      <c r="F14" s="25">
        <v>41</v>
      </c>
      <c r="G14" s="265">
        <v>1029590</v>
      </c>
      <c r="H14" s="25">
        <v>42</v>
      </c>
      <c r="I14" s="265">
        <v>1057580</v>
      </c>
    </row>
    <row r="15" spans="1:9" x14ac:dyDescent="0.25">
      <c r="A15" s="266" t="s">
        <v>1982</v>
      </c>
      <c r="B15" t="s">
        <v>1983</v>
      </c>
      <c r="C15" s="25">
        <v>6</v>
      </c>
      <c r="D15" t="s">
        <v>1959</v>
      </c>
      <c r="E15" t="s">
        <v>1984</v>
      </c>
      <c r="F15" s="25">
        <v>8</v>
      </c>
      <c r="G15" s="265">
        <v>207920</v>
      </c>
      <c r="H15" s="25">
        <v>0</v>
      </c>
      <c r="I15" s="265">
        <v>0</v>
      </c>
    </row>
    <row r="16" spans="1:9" x14ac:dyDescent="0.25">
      <c r="A16">
        <v>92761525</v>
      </c>
      <c r="B16" t="s">
        <v>1985</v>
      </c>
      <c r="C16" s="25">
        <v>2</v>
      </c>
      <c r="D16" t="s">
        <v>1956</v>
      </c>
      <c r="E16" t="s">
        <v>1986</v>
      </c>
      <c r="F16" s="25">
        <v>121</v>
      </c>
      <c r="G16" s="265">
        <v>3165790</v>
      </c>
      <c r="H16" s="25">
        <v>106</v>
      </c>
      <c r="I16" s="265">
        <v>2771940</v>
      </c>
    </row>
    <row r="17" spans="1:9" x14ac:dyDescent="0.25">
      <c r="A17">
        <v>93052528</v>
      </c>
      <c r="B17" t="s">
        <v>1987</v>
      </c>
      <c r="C17" s="25">
        <v>6</v>
      </c>
      <c r="D17" t="s">
        <v>1959</v>
      </c>
      <c r="E17" t="s">
        <v>1967</v>
      </c>
      <c r="F17" s="25">
        <v>553</v>
      </c>
      <c r="G17" s="265">
        <v>14187470</v>
      </c>
      <c r="H17" s="25">
        <v>441</v>
      </c>
      <c r="I17" s="265">
        <v>11312590</v>
      </c>
    </row>
    <row r="18" spans="1:9" x14ac:dyDescent="0.25">
      <c r="A18">
        <v>94411564</v>
      </c>
      <c r="B18" t="s">
        <v>1988</v>
      </c>
      <c r="C18" s="25">
        <v>12</v>
      </c>
      <c r="D18" t="s">
        <v>1962</v>
      </c>
      <c r="E18" t="s">
        <v>1989</v>
      </c>
      <c r="F18" s="25">
        <v>90</v>
      </c>
      <c r="G18" s="265">
        <v>2316100</v>
      </c>
      <c r="H18" s="25">
        <v>84</v>
      </c>
      <c r="I18" s="265">
        <v>2154160</v>
      </c>
    </row>
    <row r="19" spans="1:9" x14ac:dyDescent="0.25">
      <c r="A19">
        <v>96234422</v>
      </c>
      <c r="B19" t="s">
        <v>1990</v>
      </c>
      <c r="C19" s="25">
        <v>2</v>
      </c>
      <c r="D19" t="s">
        <v>1956</v>
      </c>
      <c r="E19" t="s">
        <v>1991</v>
      </c>
      <c r="F19" s="25">
        <v>228</v>
      </c>
      <c r="G19" s="265">
        <v>5836720</v>
      </c>
      <c r="H19" s="25">
        <v>198</v>
      </c>
      <c r="I19" s="265">
        <v>5030020</v>
      </c>
    </row>
    <row r="20" spans="1:9" x14ac:dyDescent="0.25">
      <c r="A20">
        <v>102705084</v>
      </c>
      <c r="B20" t="s">
        <v>1992</v>
      </c>
      <c r="C20" s="25">
        <v>12</v>
      </c>
      <c r="D20" t="s">
        <v>1962</v>
      </c>
      <c r="E20" t="s">
        <v>1993</v>
      </c>
      <c r="F20" s="25">
        <v>190</v>
      </c>
      <c r="G20" s="265">
        <v>4834100</v>
      </c>
      <c r="H20" s="25">
        <v>121</v>
      </c>
      <c r="I20" s="265">
        <v>3051790</v>
      </c>
    </row>
    <row r="21" spans="1:9" x14ac:dyDescent="0.25">
      <c r="A21">
        <v>105613059</v>
      </c>
      <c r="B21" t="s">
        <v>1994</v>
      </c>
      <c r="C21" s="25">
        <v>12</v>
      </c>
      <c r="D21" t="s">
        <v>1962</v>
      </c>
      <c r="E21" t="s">
        <v>1995</v>
      </c>
      <c r="F21" s="25">
        <v>42</v>
      </c>
      <c r="G21" s="265">
        <v>1112580</v>
      </c>
      <c r="H21" s="25">
        <v>41</v>
      </c>
      <c r="I21" s="265">
        <v>1086590</v>
      </c>
    </row>
    <row r="22" spans="1:9" x14ac:dyDescent="0.25">
      <c r="A22" t="s">
        <v>1039</v>
      </c>
      <c r="B22" t="s">
        <v>1996</v>
      </c>
      <c r="C22" s="25">
        <v>2</v>
      </c>
      <c r="D22" t="s">
        <v>1956</v>
      </c>
      <c r="E22" t="s">
        <v>1997</v>
      </c>
      <c r="F22" s="25">
        <v>49</v>
      </c>
      <c r="G22" s="265">
        <v>1240510</v>
      </c>
      <c r="H22" s="25">
        <v>40</v>
      </c>
      <c r="I22" s="265">
        <v>1006600</v>
      </c>
    </row>
    <row r="23" spans="1:9" x14ac:dyDescent="0.25">
      <c r="A23">
        <v>114079979</v>
      </c>
      <c r="B23" t="s">
        <v>1998</v>
      </c>
      <c r="C23" s="25">
        <v>12</v>
      </c>
      <c r="D23" t="s">
        <v>1962</v>
      </c>
      <c r="E23" t="s">
        <v>1999</v>
      </c>
      <c r="F23" s="25">
        <v>106</v>
      </c>
      <c r="G23" s="265">
        <v>2716940</v>
      </c>
      <c r="H23" s="25">
        <v>95</v>
      </c>
      <c r="I23" s="265">
        <v>2438050</v>
      </c>
    </row>
    <row r="24" spans="1:9" x14ac:dyDescent="0.25">
      <c r="A24">
        <v>115643592</v>
      </c>
      <c r="B24" t="s">
        <v>2000</v>
      </c>
      <c r="C24" s="25">
        <v>13</v>
      </c>
      <c r="D24" t="s">
        <v>2001</v>
      </c>
      <c r="E24" t="s">
        <v>2002</v>
      </c>
      <c r="F24" s="25">
        <v>623</v>
      </c>
      <c r="G24" s="265">
        <v>16052770</v>
      </c>
      <c r="H24" s="25">
        <v>497</v>
      </c>
      <c r="I24" s="265">
        <v>12767030</v>
      </c>
    </row>
    <row r="25" spans="1:9" x14ac:dyDescent="0.25">
      <c r="A25">
        <v>116841290</v>
      </c>
      <c r="B25" t="s">
        <v>2003</v>
      </c>
      <c r="C25" s="25">
        <v>2</v>
      </c>
      <c r="D25" t="s">
        <v>1956</v>
      </c>
      <c r="E25" t="s">
        <v>1973</v>
      </c>
      <c r="F25" s="25">
        <v>397</v>
      </c>
      <c r="G25" s="265">
        <v>10084030</v>
      </c>
      <c r="H25" s="25">
        <v>380</v>
      </c>
      <c r="I25" s="265">
        <v>9639200</v>
      </c>
    </row>
    <row r="26" spans="1:9" x14ac:dyDescent="0.25">
      <c r="A26">
        <v>120037366</v>
      </c>
      <c r="B26" t="s">
        <v>2004</v>
      </c>
      <c r="C26" s="25">
        <v>3</v>
      </c>
      <c r="D26" t="s">
        <v>2005</v>
      </c>
      <c r="E26" t="s">
        <v>2006</v>
      </c>
      <c r="F26" s="25">
        <v>70</v>
      </c>
      <c r="G26" s="265">
        <v>1772300</v>
      </c>
      <c r="H26" s="25">
        <v>57</v>
      </c>
      <c r="I26" s="265">
        <v>1447430</v>
      </c>
    </row>
    <row r="27" spans="1:9" x14ac:dyDescent="0.25">
      <c r="A27">
        <v>123737024</v>
      </c>
      <c r="B27" t="s">
        <v>2007</v>
      </c>
      <c r="C27" s="25">
        <v>2</v>
      </c>
      <c r="D27" t="s">
        <v>1956</v>
      </c>
      <c r="E27" t="s">
        <v>2002</v>
      </c>
      <c r="F27" s="25">
        <v>18</v>
      </c>
      <c r="G27" s="265">
        <v>467820</v>
      </c>
      <c r="H27" s="25">
        <v>0</v>
      </c>
      <c r="I27" s="265">
        <v>0</v>
      </c>
    </row>
    <row r="28" spans="1:9" x14ac:dyDescent="0.25">
      <c r="A28" t="s">
        <v>1115</v>
      </c>
      <c r="B28" t="s">
        <v>2008</v>
      </c>
      <c r="C28" s="25">
        <v>6</v>
      </c>
      <c r="D28" t="s">
        <v>1959</v>
      </c>
      <c r="E28" t="s">
        <v>2009</v>
      </c>
      <c r="F28" s="25">
        <v>4</v>
      </c>
      <c r="G28" s="265">
        <v>103960</v>
      </c>
      <c r="H28" s="25">
        <v>4</v>
      </c>
      <c r="I28" s="265">
        <v>103960</v>
      </c>
    </row>
    <row r="29" spans="1:9" x14ac:dyDescent="0.25">
      <c r="A29">
        <v>136381334</v>
      </c>
      <c r="B29" t="s">
        <v>2010</v>
      </c>
      <c r="C29" s="25">
        <v>6</v>
      </c>
      <c r="D29" t="s">
        <v>1959</v>
      </c>
      <c r="E29" t="s">
        <v>1967</v>
      </c>
      <c r="F29" s="25">
        <v>11</v>
      </c>
      <c r="G29" s="265">
        <v>296890</v>
      </c>
      <c r="H29" s="25">
        <v>11</v>
      </c>
      <c r="I29" s="265">
        <v>296890</v>
      </c>
    </row>
    <row r="30" spans="1:9" x14ac:dyDescent="0.25">
      <c r="A30">
        <v>137440369</v>
      </c>
      <c r="B30" t="s">
        <v>2011</v>
      </c>
      <c r="C30" s="25">
        <v>6</v>
      </c>
      <c r="D30" t="s">
        <v>1959</v>
      </c>
      <c r="E30" t="s">
        <v>2012</v>
      </c>
      <c r="F30" s="25">
        <v>192</v>
      </c>
      <c r="G30" s="265">
        <v>4942080</v>
      </c>
      <c r="H30" s="25">
        <v>163</v>
      </c>
      <c r="I30" s="265">
        <v>4191370</v>
      </c>
    </row>
    <row r="31" spans="1:9" x14ac:dyDescent="0.25">
      <c r="A31">
        <v>138622045</v>
      </c>
      <c r="B31" t="s">
        <v>2013</v>
      </c>
      <c r="C31" s="25">
        <v>6</v>
      </c>
      <c r="D31" t="s">
        <v>1959</v>
      </c>
      <c r="E31" t="s">
        <v>1967</v>
      </c>
      <c r="F31" s="25">
        <v>48</v>
      </c>
      <c r="G31" s="265">
        <v>1253520</v>
      </c>
      <c r="H31" s="25">
        <v>22</v>
      </c>
      <c r="I31" s="265">
        <v>571780</v>
      </c>
    </row>
    <row r="32" spans="1:9" x14ac:dyDescent="0.25">
      <c r="A32">
        <v>139701321</v>
      </c>
      <c r="B32" t="s">
        <v>2014</v>
      </c>
      <c r="C32" s="25">
        <v>3</v>
      </c>
      <c r="D32" t="s">
        <v>2005</v>
      </c>
      <c r="E32" t="s">
        <v>2015</v>
      </c>
      <c r="F32" s="25">
        <v>250</v>
      </c>
      <c r="G32" s="265">
        <v>6409500</v>
      </c>
      <c r="H32" s="25">
        <v>240</v>
      </c>
      <c r="I32" s="265">
        <v>6159600</v>
      </c>
    </row>
    <row r="33" spans="1:9" x14ac:dyDescent="0.25">
      <c r="A33">
        <v>143849244</v>
      </c>
      <c r="B33" t="s">
        <v>2016</v>
      </c>
      <c r="C33" s="25">
        <v>2</v>
      </c>
      <c r="D33" t="s">
        <v>1956</v>
      </c>
      <c r="E33" t="s">
        <v>2017</v>
      </c>
      <c r="F33" s="25">
        <v>92</v>
      </c>
      <c r="G33" s="265">
        <v>2329080</v>
      </c>
      <c r="H33" s="25">
        <v>92</v>
      </c>
      <c r="I33" s="265">
        <v>2335080</v>
      </c>
    </row>
    <row r="34" spans="1:9" x14ac:dyDescent="0.25">
      <c r="A34">
        <v>144052439</v>
      </c>
      <c r="B34" t="s">
        <v>2018</v>
      </c>
      <c r="C34" s="25">
        <v>2</v>
      </c>
      <c r="D34" t="s">
        <v>1956</v>
      </c>
      <c r="E34" t="s">
        <v>2019</v>
      </c>
      <c r="F34" s="25">
        <v>366</v>
      </c>
      <c r="G34" s="265">
        <v>9408340</v>
      </c>
      <c r="H34" s="25">
        <v>340</v>
      </c>
      <c r="I34" s="265">
        <v>8732600</v>
      </c>
    </row>
    <row r="35" spans="1:9" x14ac:dyDescent="0.25">
      <c r="A35">
        <v>144967860</v>
      </c>
      <c r="B35" t="s">
        <v>2020</v>
      </c>
      <c r="C35" s="25">
        <v>12</v>
      </c>
      <c r="D35" t="s">
        <v>1962</v>
      </c>
      <c r="E35" t="s">
        <v>2021</v>
      </c>
      <c r="F35" s="25">
        <v>359</v>
      </c>
      <c r="G35" s="265">
        <v>9313410</v>
      </c>
      <c r="H35" s="25">
        <v>228</v>
      </c>
      <c r="I35" s="265">
        <v>5950720</v>
      </c>
    </row>
    <row r="36" spans="1:9" x14ac:dyDescent="0.25">
      <c r="A36">
        <v>146351107</v>
      </c>
      <c r="B36" t="s">
        <v>2022</v>
      </c>
      <c r="C36" s="25">
        <v>12</v>
      </c>
      <c r="D36" t="s">
        <v>1962</v>
      </c>
      <c r="E36" t="s">
        <v>2023</v>
      </c>
      <c r="F36" s="25">
        <v>304</v>
      </c>
      <c r="G36" s="265">
        <v>7886960</v>
      </c>
      <c r="H36" s="25">
        <v>269</v>
      </c>
      <c r="I36" s="265">
        <v>6956310</v>
      </c>
    </row>
    <row r="37" spans="1:9" x14ac:dyDescent="0.25">
      <c r="A37">
        <v>154536493</v>
      </c>
      <c r="B37" t="s">
        <v>2024</v>
      </c>
      <c r="C37" s="25">
        <v>3</v>
      </c>
      <c r="D37" t="s">
        <v>2005</v>
      </c>
      <c r="E37" t="s">
        <v>2025</v>
      </c>
      <c r="F37" s="25">
        <v>44</v>
      </c>
      <c r="G37" s="265">
        <v>1111560</v>
      </c>
      <c r="H37" s="25">
        <v>20</v>
      </c>
      <c r="I37" s="265">
        <v>511800</v>
      </c>
    </row>
    <row r="38" spans="1:9" x14ac:dyDescent="0.25">
      <c r="A38" t="s">
        <v>1152</v>
      </c>
      <c r="B38" t="s">
        <v>2026</v>
      </c>
      <c r="C38" s="25">
        <v>3</v>
      </c>
      <c r="D38" t="s">
        <v>2005</v>
      </c>
      <c r="E38" t="s">
        <v>2027</v>
      </c>
      <c r="F38" s="25">
        <v>216</v>
      </c>
      <c r="G38" s="265">
        <v>5676840</v>
      </c>
      <c r="H38" s="25">
        <v>125</v>
      </c>
      <c r="I38" s="265">
        <v>3276750</v>
      </c>
    </row>
    <row r="39" spans="1:9" x14ac:dyDescent="0.25">
      <c r="A39">
        <v>162593110</v>
      </c>
      <c r="B39" t="s">
        <v>2028</v>
      </c>
      <c r="C39" s="25">
        <v>6</v>
      </c>
      <c r="D39" t="s">
        <v>1959</v>
      </c>
      <c r="E39" t="s">
        <v>2029</v>
      </c>
      <c r="F39" s="25">
        <v>214</v>
      </c>
      <c r="G39" s="265">
        <v>5603860</v>
      </c>
      <c r="H39" s="25">
        <v>125</v>
      </c>
      <c r="I39" s="265">
        <v>3258750</v>
      </c>
    </row>
    <row r="40" spans="1:9" x14ac:dyDescent="0.25">
      <c r="A40">
        <v>162603744</v>
      </c>
      <c r="B40" t="s">
        <v>2030</v>
      </c>
      <c r="C40" s="25">
        <v>6</v>
      </c>
      <c r="D40" t="s">
        <v>1959</v>
      </c>
      <c r="E40" t="s">
        <v>2029</v>
      </c>
      <c r="F40" s="25">
        <v>446</v>
      </c>
      <c r="G40" s="265">
        <v>11605540</v>
      </c>
      <c r="H40" s="25">
        <v>396</v>
      </c>
      <c r="I40" s="265">
        <v>10290040</v>
      </c>
    </row>
    <row r="41" spans="1:9" x14ac:dyDescent="0.25">
      <c r="A41">
        <v>196950281</v>
      </c>
      <c r="B41" t="s">
        <v>2031</v>
      </c>
      <c r="C41" s="25">
        <v>3</v>
      </c>
      <c r="D41" t="s">
        <v>2005</v>
      </c>
      <c r="E41" t="s">
        <v>2027</v>
      </c>
      <c r="F41" s="25">
        <v>164</v>
      </c>
      <c r="G41" s="265">
        <v>4262360</v>
      </c>
      <c r="H41" s="25">
        <v>149</v>
      </c>
      <c r="I41" s="265">
        <v>3876510</v>
      </c>
    </row>
    <row r="42" spans="1:9" x14ac:dyDescent="0.25">
      <c r="A42" t="s">
        <v>1186</v>
      </c>
      <c r="B42" t="s">
        <v>2032</v>
      </c>
      <c r="C42" s="25">
        <v>12</v>
      </c>
      <c r="D42" t="s">
        <v>1962</v>
      </c>
      <c r="E42" t="s">
        <v>2033</v>
      </c>
      <c r="F42" s="25">
        <v>92</v>
      </c>
      <c r="G42" s="265">
        <v>2341080</v>
      </c>
      <c r="H42" s="25">
        <v>69</v>
      </c>
      <c r="I42" s="265">
        <v>1740310</v>
      </c>
    </row>
    <row r="43" spans="1:9" x14ac:dyDescent="0.25">
      <c r="A43">
        <v>760094900</v>
      </c>
      <c r="B43" t="s">
        <v>2034</v>
      </c>
      <c r="C43" s="25">
        <v>2</v>
      </c>
      <c r="D43" t="s">
        <v>1956</v>
      </c>
      <c r="E43" t="s">
        <v>1957</v>
      </c>
      <c r="F43" s="25">
        <v>182</v>
      </c>
      <c r="G43" s="265">
        <v>4660180</v>
      </c>
      <c r="H43" s="25">
        <v>165</v>
      </c>
      <c r="I43" s="265">
        <v>4205350</v>
      </c>
    </row>
    <row r="44" spans="1:9" x14ac:dyDescent="0.25">
      <c r="A44">
        <v>760131962</v>
      </c>
      <c r="B44" t="s">
        <v>2035</v>
      </c>
      <c r="C44" s="25">
        <v>12</v>
      </c>
      <c r="D44" t="s">
        <v>1962</v>
      </c>
      <c r="E44" t="s">
        <v>1980</v>
      </c>
      <c r="F44" s="25">
        <v>83</v>
      </c>
      <c r="G44" s="265">
        <v>2114170</v>
      </c>
      <c r="H44" s="25">
        <v>96</v>
      </c>
      <c r="I44" s="265">
        <v>2446040</v>
      </c>
    </row>
    <row r="45" spans="1:9" x14ac:dyDescent="0.25">
      <c r="A45">
        <v>760176303</v>
      </c>
      <c r="B45" t="s">
        <v>2036</v>
      </c>
      <c r="C45" s="25">
        <v>2</v>
      </c>
      <c r="D45" t="s">
        <v>1956</v>
      </c>
      <c r="E45" t="s">
        <v>1986</v>
      </c>
      <c r="F45" s="25">
        <v>364</v>
      </c>
      <c r="G45" s="265">
        <v>9376360</v>
      </c>
      <c r="H45" s="25">
        <v>356</v>
      </c>
      <c r="I45" s="265">
        <v>9174440</v>
      </c>
    </row>
    <row r="46" spans="1:9" x14ac:dyDescent="0.25">
      <c r="A46">
        <v>760381810</v>
      </c>
      <c r="B46" t="s">
        <v>2037</v>
      </c>
      <c r="C46" s="25">
        <v>12</v>
      </c>
      <c r="D46" t="s">
        <v>1962</v>
      </c>
      <c r="E46" t="s">
        <v>2038</v>
      </c>
      <c r="F46" s="25">
        <v>96</v>
      </c>
      <c r="G46" s="265">
        <v>2471040</v>
      </c>
      <c r="H46" s="25">
        <v>82</v>
      </c>
      <c r="I46" s="265">
        <v>2120180</v>
      </c>
    </row>
    <row r="47" spans="1:9" x14ac:dyDescent="0.25">
      <c r="A47">
        <v>760484040</v>
      </c>
      <c r="B47" t="s">
        <v>2039</v>
      </c>
      <c r="C47" s="25">
        <v>2</v>
      </c>
      <c r="D47" t="s">
        <v>1956</v>
      </c>
      <c r="E47" t="s">
        <v>2025</v>
      </c>
      <c r="F47" s="25">
        <v>60</v>
      </c>
      <c r="G47" s="265">
        <v>1511400</v>
      </c>
      <c r="H47" s="25">
        <v>44</v>
      </c>
      <c r="I47" s="265">
        <v>1099560</v>
      </c>
    </row>
    <row r="48" spans="1:9" x14ac:dyDescent="0.25">
      <c r="A48">
        <v>760498424</v>
      </c>
      <c r="B48" t="s">
        <v>2040</v>
      </c>
      <c r="C48" s="25">
        <v>13</v>
      </c>
      <c r="D48" t="s">
        <v>2001</v>
      </c>
      <c r="E48" t="s">
        <v>2041</v>
      </c>
      <c r="F48" s="25">
        <v>1292</v>
      </c>
      <c r="G48" s="265">
        <v>33221080</v>
      </c>
      <c r="H48" s="25">
        <v>1159</v>
      </c>
      <c r="I48" s="265">
        <v>29769410</v>
      </c>
    </row>
    <row r="49" spans="1:9" x14ac:dyDescent="0.25">
      <c r="A49">
        <v>760678872</v>
      </c>
      <c r="B49" t="s">
        <v>2042</v>
      </c>
      <c r="C49" s="25">
        <v>2</v>
      </c>
      <c r="D49" t="s">
        <v>1956</v>
      </c>
      <c r="E49" t="s">
        <v>2033</v>
      </c>
      <c r="F49" s="25">
        <v>169</v>
      </c>
      <c r="G49" s="265">
        <v>4288310</v>
      </c>
      <c r="H49" s="25">
        <v>146</v>
      </c>
      <c r="I49" s="265">
        <v>3709540</v>
      </c>
    </row>
    <row r="50" spans="1:9" x14ac:dyDescent="0.25">
      <c r="A50">
        <v>760791865</v>
      </c>
      <c r="B50" t="s">
        <v>2043</v>
      </c>
      <c r="C50" s="25">
        <v>3</v>
      </c>
      <c r="D50" t="s">
        <v>2005</v>
      </c>
      <c r="E50" t="s">
        <v>2044</v>
      </c>
      <c r="F50" s="25">
        <v>143</v>
      </c>
      <c r="G50" s="265">
        <v>3677570</v>
      </c>
      <c r="H50" s="25">
        <v>74</v>
      </c>
      <c r="I50" s="265">
        <v>1904260</v>
      </c>
    </row>
    <row r="51" spans="1:9" x14ac:dyDescent="0.25">
      <c r="A51">
        <v>760993476</v>
      </c>
      <c r="B51" t="s">
        <v>2045</v>
      </c>
      <c r="C51" s="25">
        <v>12</v>
      </c>
      <c r="D51" t="s">
        <v>1962</v>
      </c>
      <c r="E51" t="s">
        <v>2046</v>
      </c>
      <c r="F51" s="25">
        <v>79</v>
      </c>
      <c r="G51" s="265">
        <v>1980210</v>
      </c>
      <c r="H51" s="25">
        <v>51</v>
      </c>
      <c r="I51" s="265">
        <v>1280490</v>
      </c>
    </row>
    <row r="52" spans="1:9" x14ac:dyDescent="0.25">
      <c r="A52">
        <v>761212206</v>
      </c>
      <c r="B52" t="s">
        <v>2047</v>
      </c>
      <c r="C52" s="25">
        <v>3</v>
      </c>
      <c r="D52" t="s">
        <v>2005</v>
      </c>
      <c r="E52" t="s">
        <v>2015</v>
      </c>
      <c r="F52" s="25">
        <v>277</v>
      </c>
      <c r="G52" s="265">
        <v>6961230</v>
      </c>
      <c r="H52" s="25">
        <v>252</v>
      </c>
      <c r="I52" s="265">
        <v>6335480</v>
      </c>
    </row>
    <row r="53" spans="1:9" x14ac:dyDescent="0.25">
      <c r="A53">
        <v>761687794</v>
      </c>
      <c r="B53" t="s">
        <v>2048</v>
      </c>
      <c r="C53" s="25">
        <v>13</v>
      </c>
      <c r="D53" t="s">
        <v>2001</v>
      </c>
      <c r="E53" t="s">
        <v>2023</v>
      </c>
      <c r="F53" s="25">
        <v>179</v>
      </c>
      <c r="G53" s="265">
        <v>4557210</v>
      </c>
      <c r="H53" s="25">
        <v>125</v>
      </c>
      <c r="I53" s="265">
        <v>3197750</v>
      </c>
    </row>
    <row r="54" spans="1:9" x14ac:dyDescent="0.25">
      <c r="A54">
        <v>761839098</v>
      </c>
      <c r="B54" t="s">
        <v>2049</v>
      </c>
      <c r="C54" s="25">
        <v>2</v>
      </c>
      <c r="D54" t="s">
        <v>1956</v>
      </c>
      <c r="E54" t="s">
        <v>2050</v>
      </c>
      <c r="F54" s="25">
        <v>394</v>
      </c>
      <c r="G54" s="265">
        <v>10268060</v>
      </c>
      <c r="H54" s="25">
        <v>349</v>
      </c>
      <c r="I54" s="265">
        <v>9101510</v>
      </c>
    </row>
    <row r="55" spans="1:9" x14ac:dyDescent="0.25">
      <c r="A55">
        <v>761952552</v>
      </c>
      <c r="B55" t="s">
        <v>2051</v>
      </c>
      <c r="C55" s="25">
        <v>2</v>
      </c>
      <c r="D55" t="s">
        <v>1956</v>
      </c>
      <c r="E55" t="s">
        <v>2052</v>
      </c>
      <c r="F55" s="25">
        <v>770</v>
      </c>
      <c r="G55" s="265">
        <v>19801300</v>
      </c>
      <c r="H55" s="25">
        <v>703</v>
      </c>
      <c r="I55" s="265">
        <v>18096970</v>
      </c>
    </row>
    <row r="56" spans="1:9" x14ac:dyDescent="0.25">
      <c r="A56">
        <v>761981951</v>
      </c>
      <c r="B56" t="s">
        <v>2053</v>
      </c>
      <c r="C56" s="25">
        <v>12</v>
      </c>
      <c r="D56" t="s">
        <v>1962</v>
      </c>
      <c r="E56" t="s">
        <v>2046</v>
      </c>
      <c r="F56" s="25">
        <v>144</v>
      </c>
      <c r="G56" s="265">
        <v>3646560</v>
      </c>
      <c r="H56" s="25">
        <v>130</v>
      </c>
      <c r="I56" s="265">
        <v>3272700</v>
      </c>
    </row>
    <row r="57" spans="1:9" x14ac:dyDescent="0.25">
      <c r="A57">
        <v>762535491</v>
      </c>
      <c r="B57" t="s">
        <v>2054</v>
      </c>
      <c r="C57" s="25">
        <v>41</v>
      </c>
      <c r="D57" t="s">
        <v>2055</v>
      </c>
      <c r="E57" t="s">
        <v>2050</v>
      </c>
      <c r="F57" s="25">
        <v>9155</v>
      </c>
      <c r="G57" s="265">
        <v>236778450</v>
      </c>
      <c r="H57" s="25">
        <v>5365</v>
      </c>
      <c r="I57" s="265">
        <v>138886350</v>
      </c>
    </row>
    <row r="58" spans="1:9" x14ac:dyDescent="0.25">
      <c r="A58">
        <v>763395200</v>
      </c>
      <c r="B58" t="s">
        <v>2056</v>
      </c>
      <c r="C58" s="25">
        <v>12</v>
      </c>
      <c r="D58" t="s">
        <v>1962</v>
      </c>
      <c r="E58" t="s">
        <v>2057</v>
      </c>
      <c r="F58" s="25">
        <v>119</v>
      </c>
      <c r="G58" s="265">
        <v>2990810</v>
      </c>
      <c r="H58" s="25">
        <v>116</v>
      </c>
      <c r="I58" s="265">
        <v>2914840</v>
      </c>
    </row>
    <row r="59" spans="1:9" x14ac:dyDescent="0.25">
      <c r="A59">
        <v>763565270</v>
      </c>
      <c r="B59" t="s">
        <v>2058</v>
      </c>
      <c r="C59" s="25">
        <v>2</v>
      </c>
      <c r="D59" t="s">
        <v>1956</v>
      </c>
      <c r="E59" t="s">
        <v>2059</v>
      </c>
      <c r="F59" s="25">
        <v>46</v>
      </c>
      <c r="G59" s="265">
        <v>1149540</v>
      </c>
      <c r="H59" s="25">
        <v>35</v>
      </c>
      <c r="I59" s="265">
        <v>874650</v>
      </c>
    </row>
    <row r="60" spans="1:9" x14ac:dyDescent="0.25">
      <c r="A60">
        <v>764058496</v>
      </c>
      <c r="B60" t="s">
        <v>2060</v>
      </c>
      <c r="C60" s="25">
        <v>2</v>
      </c>
      <c r="D60" t="s">
        <v>1956</v>
      </c>
      <c r="E60" t="s">
        <v>2061</v>
      </c>
      <c r="F60" s="25">
        <v>127</v>
      </c>
      <c r="G60" s="265">
        <v>3291730</v>
      </c>
      <c r="H60" s="25">
        <v>127</v>
      </c>
      <c r="I60" s="265">
        <v>3291730</v>
      </c>
    </row>
    <row r="61" spans="1:9" x14ac:dyDescent="0.25">
      <c r="A61" t="s">
        <v>2062</v>
      </c>
      <c r="B61" t="s">
        <v>2063</v>
      </c>
      <c r="C61" s="25">
        <v>3</v>
      </c>
      <c r="D61" t="s">
        <v>2005</v>
      </c>
      <c r="E61" t="s">
        <v>2006</v>
      </c>
      <c r="F61" s="25">
        <v>144</v>
      </c>
      <c r="G61" s="265">
        <v>3706560</v>
      </c>
      <c r="H61" s="25">
        <v>133</v>
      </c>
      <c r="I61" s="265">
        <v>3429670</v>
      </c>
    </row>
    <row r="62" spans="1:9" x14ac:dyDescent="0.25">
      <c r="A62" t="s">
        <v>2064</v>
      </c>
      <c r="B62" t="s">
        <v>2065</v>
      </c>
      <c r="C62" s="25">
        <v>2</v>
      </c>
      <c r="D62" t="s">
        <v>1956</v>
      </c>
      <c r="E62" t="s">
        <v>2066</v>
      </c>
      <c r="F62" s="25">
        <v>324</v>
      </c>
      <c r="G62" s="265">
        <v>8204760</v>
      </c>
      <c r="H62" s="25">
        <v>287</v>
      </c>
      <c r="I62" s="265">
        <v>7280130</v>
      </c>
    </row>
    <row r="63" spans="1:9" x14ac:dyDescent="0.25">
      <c r="A63">
        <v>764509315</v>
      </c>
      <c r="B63" t="s">
        <v>2067</v>
      </c>
      <c r="C63" s="25">
        <v>13</v>
      </c>
      <c r="D63" t="s">
        <v>2001</v>
      </c>
      <c r="E63" t="s">
        <v>2023</v>
      </c>
      <c r="F63" s="25">
        <v>132</v>
      </c>
      <c r="G63" s="265">
        <v>3430680</v>
      </c>
      <c r="H63" s="25">
        <v>129</v>
      </c>
      <c r="I63" s="265">
        <v>3355710</v>
      </c>
    </row>
    <row r="64" spans="1:9" x14ac:dyDescent="0.25">
      <c r="A64">
        <v>764543548</v>
      </c>
      <c r="B64" t="s">
        <v>2068</v>
      </c>
      <c r="C64" s="25">
        <v>12</v>
      </c>
      <c r="D64" t="s">
        <v>1962</v>
      </c>
      <c r="E64" t="s">
        <v>1980</v>
      </c>
      <c r="F64" s="25">
        <v>157</v>
      </c>
      <c r="G64" s="265">
        <v>4023430</v>
      </c>
      <c r="H64" s="25">
        <v>117</v>
      </c>
      <c r="I64" s="265">
        <v>2981830</v>
      </c>
    </row>
    <row r="65" spans="1:9" x14ac:dyDescent="0.25">
      <c r="A65">
        <v>765118298</v>
      </c>
      <c r="B65" t="s">
        <v>2069</v>
      </c>
      <c r="C65" s="25">
        <v>2</v>
      </c>
      <c r="D65" t="s">
        <v>1956</v>
      </c>
      <c r="E65" t="s">
        <v>2052</v>
      </c>
      <c r="F65" s="25">
        <v>195</v>
      </c>
      <c r="G65" s="265">
        <v>4999050</v>
      </c>
      <c r="H65" s="25">
        <v>166</v>
      </c>
      <c r="I65" s="265">
        <v>4271340</v>
      </c>
    </row>
    <row r="66" spans="1:9" x14ac:dyDescent="0.25">
      <c r="A66">
        <v>765183685</v>
      </c>
      <c r="B66" t="s">
        <v>2070</v>
      </c>
      <c r="C66" s="25">
        <v>6</v>
      </c>
      <c r="D66" t="s">
        <v>1959</v>
      </c>
      <c r="E66" t="s">
        <v>2071</v>
      </c>
      <c r="F66" s="25">
        <v>35</v>
      </c>
      <c r="G66" s="265">
        <v>896650</v>
      </c>
      <c r="H66" s="25">
        <v>33</v>
      </c>
      <c r="I66" s="265">
        <v>846670</v>
      </c>
    </row>
    <row r="67" spans="1:9" x14ac:dyDescent="0.25">
      <c r="A67">
        <v>766400809</v>
      </c>
      <c r="B67" t="s">
        <v>2072</v>
      </c>
      <c r="C67" s="25">
        <v>2</v>
      </c>
      <c r="D67" t="s">
        <v>1956</v>
      </c>
      <c r="E67" t="s">
        <v>2044</v>
      </c>
      <c r="F67" s="25">
        <v>266</v>
      </c>
      <c r="G67" s="265">
        <v>6857340</v>
      </c>
      <c r="H67" s="25">
        <v>258</v>
      </c>
      <c r="I67" s="265">
        <v>6649420</v>
      </c>
    </row>
    <row r="68" spans="1:9" x14ac:dyDescent="0.25">
      <c r="A68">
        <v>766518486</v>
      </c>
      <c r="B68" t="s">
        <v>2073</v>
      </c>
      <c r="C68" s="25">
        <v>2</v>
      </c>
      <c r="D68" t="s">
        <v>1956</v>
      </c>
      <c r="E68" t="s">
        <v>1973</v>
      </c>
      <c r="F68" s="25">
        <v>780</v>
      </c>
      <c r="G68" s="265">
        <v>19898200</v>
      </c>
      <c r="H68" s="25">
        <v>704</v>
      </c>
      <c r="I68" s="265">
        <v>17953960</v>
      </c>
    </row>
    <row r="69" spans="1:9" x14ac:dyDescent="0.25">
      <c r="A69">
        <v>766589502</v>
      </c>
      <c r="B69" t="s">
        <v>2074</v>
      </c>
      <c r="C69" s="25">
        <v>2</v>
      </c>
      <c r="D69" t="s">
        <v>1956</v>
      </c>
      <c r="E69" t="s">
        <v>1973</v>
      </c>
      <c r="F69" s="25">
        <v>477</v>
      </c>
      <c r="G69" s="265">
        <v>12150230</v>
      </c>
      <c r="H69" s="25">
        <v>402</v>
      </c>
      <c r="I69" s="265">
        <v>10195980</v>
      </c>
    </row>
    <row r="70" spans="1:9" x14ac:dyDescent="0.25">
      <c r="A70">
        <v>766623522</v>
      </c>
      <c r="B70" t="s">
        <v>2075</v>
      </c>
      <c r="C70" s="25">
        <v>2</v>
      </c>
      <c r="D70" t="s">
        <v>1956</v>
      </c>
      <c r="E70" t="s">
        <v>2076</v>
      </c>
      <c r="F70" s="25">
        <v>658</v>
      </c>
      <c r="G70" s="265">
        <v>16993420</v>
      </c>
      <c r="H70" s="25">
        <v>488</v>
      </c>
      <c r="I70" s="265">
        <v>12597120</v>
      </c>
    </row>
    <row r="71" spans="1:9" x14ac:dyDescent="0.25">
      <c r="A71">
        <v>766871836</v>
      </c>
      <c r="B71" t="s">
        <v>2077</v>
      </c>
      <c r="C71" s="25">
        <v>13</v>
      </c>
      <c r="D71" t="s">
        <v>2001</v>
      </c>
      <c r="E71" t="s">
        <v>2002</v>
      </c>
      <c r="F71" s="25">
        <v>540</v>
      </c>
      <c r="G71" s="265">
        <v>13782600</v>
      </c>
      <c r="H71" s="25">
        <v>444</v>
      </c>
      <c r="I71" s="265">
        <v>11290560</v>
      </c>
    </row>
    <row r="72" spans="1:9" x14ac:dyDescent="0.25">
      <c r="A72">
        <v>767469861</v>
      </c>
      <c r="B72" t="s">
        <v>2078</v>
      </c>
      <c r="C72" s="25">
        <v>6</v>
      </c>
      <c r="D72" t="s">
        <v>1959</v>
      </c>
      <c r="E72" t="s">
        <v>2079</v>
      </c>
      <c r="F72" s="25">
        <v>40</v>
      </c>
      <c r="G72" s="265">
        <v>1016600</v>
      </c>
      <c r="H72" s="25">
        <v>40</v>
      </c>
      <c r="I72" s="265">
        <v>1016600</v>
      </c>
    </row>
    <row r="73" spans="1:9" x14ac:dyDescent="0.25">
      <c r="A73">
        <v>767756089</v>
      </c>
      <c r="B73" t="s">
        <v>2080</v>
      </c>
      <c r="C73" s="25">
        <v>6</v>
      </c>
      <c r="D73" t="s">
        <v>1959</v>
      </c>
      <c r="E73" t="s">
        <v>2081</v>
      </c>
      <c r="F73" s="25">
        <v>293</v>
      </c>
      <c r="G73" s="265">
        <v>7554070</v>
      </c>
      <c r="H73" s="25">
        <v>262</v>
      </c>
      <c r="I73" s="265">
        <v>6752380</v>
      </c>
    </row>
    <row r="74" spans="1:9" x14ac:dyDescent="0.25">
      <c r="A74">
        <v>768243794</v>
      </c>
      <c r="B74" t="s">
        <v>2082</v>
      </c>
      <c r="C74" s="25">
        <v>2</v>
      </c>
      <c r="D74" t="s">
        <v>1956</v>
      </c>
      <c r="E74" t="s">
        <v>2083</v>
      </c>
      <c r="F74" s="25">
        <v>104</v>
      </c>
      <c r="G74" s="265">
        <v>2702960</v>
      </c>
      <c r="H74" s="25">
        <v>68</v>
      </c>
      <c r="I74" s="265">
        <v>1785320</v>
      </c>
    </row>
    <row r="75" spans="1:9" x14ac:dyDescent="0.25">
      <c r="A75">
        <v>768994374</v>
      </c>
      <c r="B75" t="s">
        <v>2084</v>
      </c>
      <c r="C75" s="25">
        <v>2</v>
      </c>
      <c r="D75" t="s">
        <v>1956</v>
      </c>
      <c r="E75" t="s">
        <v>2085</v>
      </c>
      <c r="F75" s="25">
        <v>182</v>
      </c>
      <c r="G75" s="265">
        <v>4660180</v>
      </c>
      <c r="H75" s="25">
        <v>178</v>
      </c>
      <c r="I75" s="265">
        <v>4556220</v>
      </c>
    </row>
    <row r="76" spans="1:9" x14ac:dyDescent="0.25">
      <c r="A76">
        <v>769654313</v>
      </c>
      <c r="B76" t="s">
        <v>2086</v>
      </c>
      <c r="C76" s="25">
        <v>2</v>
      </c>
      <c r="D76" t="s">
        <v>1956</v>
      </c>
      <c r="E76" t="s">
        <v>2087</v>
      </c>
      <c r="F76" s="25">
        <v>704</v>
      </c>
      <c r="G76" s="265">
        <v>18150960</v>
      </c>
      <c r="H76" s="25">
        <v>555</v>
      </c>
      <c r="I76" s="265">
        <v>14347450</v>
      </c>
    </row>
    <row r="77" spans="1:9" x14ac:dyDescent="0.25">
      <c r="A77">
        <v>769734309</v>
      </c>
      <c r="B77" t="s">
        <v>2088</v>
      </c>
      <c r="C77" s="25">
        <v>2</v>
      </c>
      <c r="D77" t="s">
        <v>1956</v>
      </c>
      <c r="E77" t="s">
        <v>1991</v>
      </c>
      <c r="F77" s="25">
        <v>437</v>
      </c>
      <c r="G77" s="265">
        <v>11224630</v>
      </c>
      <c r="H77" s="25">
        <v>314</v>
      </c>
      <c r="I77" s="265">
        <v>8052860</v>
      </c>
    </row>
    <row r="78" spans="1:9" x14ac:dyDescent="0.25">
      <c r="A78">
        <v>770295106</v>
      </c>
      <c r="B78" t="s">
        <v>2089</v>
      </c>
      <c r="C78" s="25">
        <v>2</v>
      </c>
      <c r="D78" t="s">
        <v>1956</v>
      </c>
      <c r="E78" t="s">
        <v>2090</v>
      </c>
      <c r="F78" s="25">
        <v>252</v>
      </c>
      <c r="G78" s="265">
        <v>6437480</v>
      </c>
      <c r="H78" s="25">
        <v>219</v>
      </c>
      <c r="I78" s="265">
        <v>5580810</v>
      </c>
    </row>
    <row r="79" spans="1:9" x14ac:dyDescent="0.25">
      <c r="A79">
        <v>770301300</v>
      </c>
      <c r="B79" t="s">
        <v>2091</v>
      </c>
      <c r="C79" s="25">
        <v>2</v>
      </c>
      <c r="D79" t="s">
        <v>1956</v>
      </c>
      <c r="E79" t="s">
        <v>2066</v>
      </c>
      <c r="F79" s="25">
        <v>464</v>
      </c>
      <c r="G79" s="265">
        <v>11893360</v>
      </c>
      <c r="H79" s="25">
        <v>421</v>
      </c>
      <c r="I79" s="265">
        <v>10799790</v>
      </c>
    </row>
    <row r="80" spans="1:9" x14ac:dyDescent="0.25">
      <c r="A80">
        <v>770657679</v>
      </c>
      <c r="B80" t="s">
        <v>2092</v>
      </c>
      <c r="C80" s="25">
        <v>12</v>
      </c>
      <c r="D80" t="s">
        <v>1962</v>
      </c>
      <c r="E80" t="s">
        <v>2057</v>
      </c>
      <c r="F80" s="25">
        <v>81</v>
      </c>
      <c r="G80" s="265">
        <v>2048190</v>
      </c>
      <c r="H80" s="25">
        <v>77</v>
      </c>
      <c r="I80" s="265">
        <v>1946230</v>
      </c>
    </row>
    <row r="81" spans="1:9" x14ac:dyDescent="0.25">
      <c r="A81">
        <v>770913578</v>
      </c>
      <c r="B81" t="s">
        <v>2093</v>
      </c>
      <c r="C81" s="25">
        <v>2</v>
      </c>
      <c r="D81" t="s">
        <v>1956</v>
      </c>
      <c r="E81" t="s">
        <v>2094</v>
      </c>
      <c r="F81" s="25">
        <v>141</v>
      </c>
      <c r="G81" s="265">
        <v>3562590</v>
      </c>
      <c r="H81" s="25">
        <v>129</v>
      </c>
      <c r="I81" s="265">
        <v>3262710</v>
      </c>
    </row>
    <row r="82" spans="1:9" x14ac:dyDescent="0.25">
      <c r="A82">
        <v>770927439</v>
      </c>
      <c r="B82" t="s">
        <v>2095</v>
      </c>
      <c r="C82" s="25">
        <v>2</v>
      </c>
      <c r="D82" t="s">
        <v>1956</v>
      </c>
      <c r="E82" t="s">
        <v>2096</v>
      </c>
      <c r="F82" s="25">
        <v>72</v>
      </c>
      <c r="G82" s="265">
        <v>1859280</v>
      </c>
      <c r="H82" s="25">
        <v>71</v>
      </c>
      <c r="I82" s="265">
        <v>1834290</v>
      </c>
    </row>
    <row r="83" spans="1:9" x14ac:dyDescent="0.25">
      <c r="A83">
        <v>771000207</v>
      </c>
      <c r="B83" t="s">
        <v>2097</v>
      </c>
      <c r="C83" s="25">
        <v>2</v>
      </c>
      <c r="D83" t="s">
        <v>1956</v>
      </c>
      <c r="E83" t="s">
        <v>2050</v>
      </c>
      <c r="F83" s="25">
        <v>98</v>
      </c>
      <c r="G83" s="265">
        <v>2511020</v>
      </c>
      <c r="H83" s="25">
        <v>55</v>
      </c>
      <c r="I83" s="265">
        <v>1403450</v>
      </c>
    </row>
    <row r="84" spans="1:9" x14ac:dyDescent="0.25">
      <c r="A84">
        <v>771017215</v>
      </c>
      <c r="B84" t="s">
        <v>2098</v>
      </c>
      <c r="C84" s="25">
        <v>2</v>
      </c>
      <c r="D84" t="s">
        <v>1956</v>
      </c>
      <c r="E84" t="s">
        <v>2019</v>
      </c>
      <c r="F84" s="25">
        <v>390</v>
      </c>
      <c r="G84" s="265">
        <v>10081100</v>
      </c>
      <c r="H84" s="25">
        <v>335</v>
      </c>
      <c r="I84" s="265">
        <v>8643650</v>
      </c>
    </row>
    <row r="85" spans="1:9" x14ac:dyDescent="0.25">
      <c r="A85">
        <v>771250688</v>
      </c>
      <c r="B85" t="s">
        <v>2099</v>
      </c>
      <c r="C85" s="25">
        <v>12</v>
      </c>
      <c r="D85" t="s">
        <v>1962</v>
      </c>
      <c r="E85" t="s">
        <v>2046</v>
      </c>
      <c r="F85" s="25">
        <v>381</v>
      </c>
      <c r="G85" s="265">
        <v>9763190</v>
      </c>
      <c r="H85" s="25">
        <v>259</v>
      </c>
      <c r="I85" s="265">
        <v>6612410</v>
      </c>
    </row>
    <row r="86" spans="1:9" x14ac:dyDescent="0.25">
      <c r="A86">
        <v>771418651</v>
      </c>
      <c r="B86" t="s">
        <v>2100</v>
      </c>
      <c r="C86" s="25">
        <v>2</v>
      </c>
      <c r="D86" t="s">
        <v>1956</v>
      </c>
      <c r="E86" t="s">
        <v>1963</v>
      </c>
      <c r="F86" s="25">
        <v>259</v>
      </c>
      <c r="G86" s="265">
        <v>6598410</v>
      </c>
      <c r="H86" s="25">
        <v>137</v>
      </c>
      <c r="I86" s="265">
        <v>3517630</v>
      </c>
    </row>
    <row r="87" spans="1:9" x14ac:dyDescent="0.25">
      <c r="A87">
        <v>771432808</v>
      </c>
      <c r="B87" t="s">
        <v>2101</v>
      </c>
      <c r="C87" s="25">
        <v>12</v>
      </c>
      <c r="D87" t="s">
        <v>1962</v>
      </c>
      <c r="E87" t="s">
        <v>2102</v>
      </c>
      <c r="F87" s="25">
        <v>168</v>
      </c>
      <c r="G87" s="265">
        <v>4268320</v>
      </c>
      <c r="H87" s="25">
        <v>148</v>
      </c>
      <c r="I87" s="265">
        <v>3768520</v>
      </c>
    </row>
    <row r="88" spans="1:9" x14ac:dyDescent="0.25">
      <c r="A88">
        <v>772090390</v>
      </c>
      <c r="B88" t="s">
        <v>2103</v>
      </c>
      <c r="C88" s="25">
        <v>2</v>
      </c>
      <c r="D88" t="s">
        <v>1956</v>
      </c>
      <c r="E88" t="s">
        <v>2076</v>
      </c>
      <c r="F88" s="25">
        <v>445</v>
      </c>
      <c r="G88" s="265">
        <v>11487550</v>
      </c>
      <c r="H88" s="25">
        <v>241</v>
      </c>
      <c r="I88" s="265">
        <v>6172590</v>
      </c>
    </row>
    <row r="89" spans="1:9" x14ac:dyDescent="0.25">
      <c r="A89" t="s">
        <v>1757</v>
      </c>
      <c r="B89" t="s">
        <v>2104</v>
      </c>
      <c r="C89" s="25">
        <v>6</v>
      </c>
      <c r="D89" t="s">
        <v>1959</v>
      </c>
      <c r="E89" t="s">
        <v>2081</v>
      </c>
      <c r="F89" s="25">
        <v>79</v>
      </c>
      <c r="G89" s="265">
        <v>2004210</v>
      </c>
      <c r="H89" s="25">
        <v>72</v>
      </c>
      <c r="I89" s="265">
        <v>1828280</v>
      </c>
    </row>
    <row r="90" spans="1:9" x14ac:dyDescent="0.25">
      <c r="A90" t="s">
        <v>2105</v>
      </c>
      <c r="B90" t="s">
        <v>2106</v>
      </c>
      <c r="C90" s="25">
        <v>1</v>
      </c>
      <c r="D90" t="s">
        <v>2107</v>
      </c>
      <c r="E90" t="s">
        <v>2050</v>
      </c>
      <c r="F90" s="25">
        <v>3</v>
      </c>
      <c r="G90" s="265">
        <v>77970</v>
      </c>
      <c r="H90" s="25">
        <v>0</v>
      </c>
      <c r="I90" s="265">
        <v>0</v>
      </c>
    </row>
    <row r="91" spans="1:9" x14ac:dyDescent="0.25">
      <c r="A91" t="s">
        <v>1453</v>
      </c>
      <c r="B91" t="s">
        <v>2108</v>
      </c>
      <c r="C91" s="25">
        <v>6</v>
      </c>
      <c r="D91" t="s">
        <v>1959</v>
      </c>
      <c r="E91" t="s">
        <v>1960</v>
      </c>
      <c r="F91" s="25">
        <v>119</v>
      </c>
      <c r="G91" s="265">
        <v>3032810</v>
      </c>
      <c r="H91" s="25">
        <v>111</v>
      </c>
      <c r="I91" s="265">
        <v>2824890</v>
      </c>
    </row>
    <row r="92" spans="1:9" x14ac:dyDescent="0.25">
      <c r="A92">
        <v>774518029</v>
      </c>
      <c r="B92" t="s">
        <v>2109</v>
      </c>
      <c r="C92" s="25">
        <v>6</v>
      </c>
      <c r="D92" t="s">
        <v>1959</v>
      </c>
      <c r="E92" t="s">
        <v>1960</v>
      </c>
      <c r="F92" s="25">
        <v>291</v>
      </c>
      <c r="G92" s="265">
        <v>7498090</v>
      </c>
      <c r="H92" s="25">
        <v>257</v>
      </c>
      <c r="I92" s="265">
        <v>6607430</v>
      </c>
    </row>
    <row r="93" spans="1:9" x14ac:dyDescent="0.25">
      <c r="A93">
        <v>774998772</v>
      </c>
      <c r="B93" t="s">
        <v>2110</v>
      </c>
      <c r="C93" s="25">
        <v>3</v>
      </c>
      <c r="D93" t="s">
        <v>2005</v>
      </c>
      <c r="E93" t="s">
        <v>2044</v>
      </c>
      <c r="F93" s="25">
        <v>10</v>
      </c>
      <c r="G93" s="265">
        <v>259900</v>
      </c>
      <c r="H93" s="25">
        <v>10</v>
      </c>
      <c r="I93" s="265">
        <v>259900</v>
      </c>
    </row>
    <row r="94" spans="1:9" x14ac:dyDescent="0.25">
      <c r="A94">
        <v>775142286</v>
      </c>
      <c r="B94" t="s">
        <v>2111</v>
      </c>
      <c r="C94" s="25">
        <v>2</v>
      </c>
      <c r="D94" t="s">
        <v>1956</v>
      </c>
      <c r="E94" t="s">
        <v>2112</v>
      </c>
      <c r="F94" s="25">
        <v>273</v>
      </c>
      <c r="G94" s="265">
        <v>7084270</v>
      </c>
      <c r="H94" s="25">
        <v>187</v>
      </c>
      <c r="I94" s="265">
        <v>4800130</v>
      </c>
    </row>
    <row r="95" spans="1:9" x14ac:dyDescent="0.25">
      <c r="A95">
        <v>775196882</v>
      </c>
      <c r="B95" t="s">
        <v>2113</v>
      </c>
      <c r="C95" s="25">
        <v>12</v>
      </c>
      <c r="D95" t="s">
        <v>1962</v>
      </c>
      <c r="E95" t="s">
        <v>2114</v>
      </c>
      <c r="F95" s="25">
        <v>110</v>
      </c>
      <c r="G95" s="265">
        <v>2792900</v>
      </c>
      <c r="H95" s="25">
        <v>68</v>
      </c>
      <c r="I95" s="265">
        <v>1737320</v>
      </c>
    </row>
    <row r="96" spans="1:9" x14ac:dyDescent="0.25">
      <c r="A96">
        <v>775867256</v>
      </c>
      <c r="B96" t="s">
        <v>2115</v>
      </c>
      <c r="C96" s="25">
        <v>2</v>
      </c>
      <c r="D96" t="s">
        <v>1956</v>
      </c>
      <c r="E96" t="s">
        <v>2094</v>
      </c>
      <c r="F96" s="25">
        <v>30</v>
      </c>
      <c r="G96" s="265">
        <v>779700</v>
      </c>
      <c r="H96" s="25">
        <v>29</v>
      </c>
      <c r="I96" s="265">
        <v>752710</v>
      </c>
    </row>
    <row r="97" spans="1:9" x14ac:dyDescent="0.25">
      <c r="A97">
        <v>775945109</v>
      </c>
      <c r="B97" t="s">
        <v>2116</v>
      </c>
      <c r="C97" s="25">
        <v>6</v>
      </c>
      <c r="D97" t="s">
        <v>1959</v>
      </c>
      <c r="E97" t="s">
        <v>2117</v>
      </c>
      <c r="F97" s="25">
        <v>14</v>
      </c>
      <c r="G97" s="265">
        <v>363860</v>
      </c>
      <c r="H97" s="25">
        <v>14</v>
      </c>
      <c r="I97" s="265">
        <v>363860</v>
      </c>
    </row>
    <row r="98" spans="1:9" x14ac:dyDescent="0.25">
      <c r="A98">
        <v>776161667</v>
      </c>
      <c r="B98" t="s">
        <v>2118</v>
      </c>
      <c r="C98" s="25">
        <v>3</v>
      </c>
      <c r="D98" t="s">
        <v>2005</v>
      </c>
      <c r="E98" t="s">
        <v>2015</v>
      </c>
      <c r="F98" s="25">
        <v>63</v>
      </c>
      <c r="G98" s="265">
        <v>1584370</v>
      </c>
      <c r="H98" s="25">
        <v>62</v>
      </c>
      <c r="I98" s="265">
        <v>1559380</v>
      </c>
    </row>
    <row r="99" spans="1:9" x14ac:dyDescent="0.25">
      <c r="A99">
        <v>776449733</v>
      </c>
      <c r="B99" t="s">
        <v>2119</v>
      </c>
      <c r="C99" s="25">
        <v>2</v>
      </c>
      <c r="D99" t="s">
        <v>1956</v>
      </c>
      <c r="E99" t="s">
        <v>2120</v>
      </c>
      <c r="F99" s="25">
        <v>75</v>
      </c>
      <c r="G99" s="265">
        <v>1957250</v>
      </c>
      <c r="H99" s="25">
        <v>58</v>
      </c>
      <c r="I99" s="265">
        <v>1518420</v>
      </c>
    </row>
    <row r="100" spans="1:9" x14ac:dyDescent="0.25">
      <c r="A100">
        <v>776506435</v>
      </c>
      <c r="B100" t="s">
        <v>2121</v>
      </c>
      <c r="C100" s="25">
        <v>6</v>
      </c>
      <c r="D100" t="s">
        <v>1959</v>
      </c>
      <c r="E100" t="s">
        <v>1967</v>
      </c>
      <c r="F100" s="25">
        <v>18</v>
      </c>
      <c r="G100" s="265">
        <v>461820</v>
      </c>
      <c r="H100" s="25">
        <v>0</v>
      </c>
      <c r="I100" s="265">
        <v>0</v>
      </c>
    </row>
    <row r="101" spans="1:9" x14ac:dyDescent="0.25">
      <c r="A101">
        <v>777307800</v>
      </c>
      <c r="B101" t="s">
        <v>2122</v>
      </c>
      <c r="C101" s="25">
        <v>10</v>
      </c>
      <c r="D101" t="s">
        <v>2123</v>
      </c>
      <c r="E101" t="s">
        <v>2050</v>
      </c>
      <c r="F101" s="25">
        <v>799</v>
      </c>
      <c r="G101" s="265">
        <v>20698010</v>
      </c>
      <c r="H101" s="25">
        <v>625</v>
      </c>
      <c r="I101" s="265">
        <v>16077750</v>
      </c>
    </row>
    <row r="102" spans="1:9" x14ac:dyDescent="0.25">
      <c r="A102">
        <v>779115070</v>
      </c>
      <c r="B102" t="s">
        <v>2124</v>
      </c>
      <c r="C102" s="25">
        <v>2</v>
      </c>
      <c r="D102" t="s">
        <v>1956</v>
      </c>
      <c r="E102" t="s">
        <v>1963</v>
      </c>
      <c r="F102" s="25">
        <v>96</v>
      </c>
      <c r="G102" s="265">
        <v>2447040</v>
      </c>
      <c r="H102" s="25">
        <v>86</v>
      </c>
      <c r="I102" s="265">
        <v>2197140</v>
      </c>
    </row>
    <row r="103" spans="1:9" x14ac:dyDescent="0.25">
      <c r="A103">
        <v>779568032</v>
      </c>
      <c r="B103" t="s">
        <v>2125</v>
      </c>
      <c r="C103" s="25">
        <v>3</v>
      </c>
      <c r="D103" t="s">
        <v>2005</v>
      </c>
      <c r="E103" t="s">
        <v>2027</v>
      </c>
      <c r="F103" s="25">
        <v>484</v>
      </c>
      <c r="G103" s="265">
        <v>12719160</v>
      </c>
      <c r="H103" s="25">
        <v>399</v>
      </c>
      <c r="I103" s="265">
        <v>10501010</v>
      </c>
    </row>
    <row r="104" spans="1:9" x14ac:dyDescent="0.25">
      <c r="A104">
        <v>781827843</v>
      </c>
      <c r="B104" t="s">
        <v>2126</v>
      </c>
      <c r="C104" s="25">
        <v>2</v>
      </c>
      <c r="D104" t="s">
        <v>1956</v>
      </c>
      <c r="E104" t="s">
        <v>1960</v>
      </c>
      <c r="F104" s="25">
        <v>9</v>
      </c>
      <c r="G104" s="265">
        <v>242910</v>
      </c>
      <c r="H104" s="25">
        <v>9</v>
      </c>
      <c r="I104" s="265">
        <v>242910</v>
      </c>
    </row>
    <row r="105" spans="1:9" x14ac:dyDescent="0.25">
      <c r="A105">
        <v>784161900</v>
      </c>
      <c r="B105" t="s">
        <v>2127</v>
      </c>
      <c r="C105" s="25">
        <v>3</v>
      </c>
      <c r="D105" t="s">
        <v>2005</v>
      </c>
      <c r="E105" t="s">
        <v>2027</v>
      </c>
      <c r="F105" s="25">
        <v>291</v>
      </c>
      <c r="G105" s="265">
        <v>7612090</v>
      </c>
      <c r="H105" s="25">
        <v>177</v>
      </c>
      <c r="I105" s="265">
        <v>4610230</v>
      </c>
    </row>
    <row r="106" spans="1:9" x14ac:dyDescent="0.25">
      <c r="A106">
        <v>788014902</v>
      </c>
      <c r="B106" t="s">
        <v>2128</v>
      </c>
      <c r="C106" s="25">
        <v>6</v>
      </c>
      <c r="D106" t="s">
        <v>1959</v>
      </c>
      <c r="E106" t="s">
        <v>2117</v>
      </c>
      <c r="F106" s="25">
        <v>247</v>
      </c>
      <c r="G106" s="265">
        <v>6380530</v>
      </c>
      <c r="H106" s="25">
        <v>217</v>
      </c>
      <c r="I106" s="265">
        <v>5651830</v>
      </c>
    </row>
    <row r="107" spans="1:9" x14ac:dyDescent="0.25">
      <c r="A107" t="s">
        <v>1511</v>
      </c>
      <c r="B107" t="s">
        <v>2129</v>
      </c>
      <c r="C107" s="25">
        <v>2</v>
      </c>
      <c r="D107" t="s">
        <v>1956</v>
      </c>
      <c r="E107" t="s">
        <v>2083</v>
      </c>
      <c r="F107" s="25">
        <v>129</v>
      </c>
      <c r="G107" s="265">
        <v>3320710</v>
      </c>
      <c r="H107" s="25">
        <v>115</v>
      </c>
      <c r="I107" s="265">
        <v>2955850</v>
      </c>
    </row>
    <row r="108" spans="1:9" x14ac:dyDescent="0.25">
      <c r="A108">
        <v>798629603</v>
      </c>
      <c r="B108" t="s">
        <v>2130</v>
      </c>
      <c r="C108" s="25">
        <v>3</v>
      </c>
      <c r="D108" t="s">
        <v>2005</v>
      </c>
      <c r="E108" t="s">
        <v>2027</v>
      </c>
      <c r="F108" s="25">
        <v>240</v>
      </c>
      <c r="G108" s="265">
        <v>6077600</v>
      </c>
      <c r="H108" s="25">
        <v>234</v>
      </c>
      <c r="I108" s="265">
        <v>5927660</v>
      </c>
    </row>
    <row r="109" spans="1:9" x14ac:dyDescent="0.25">
      <c r="A109">
        <v>799824906</v>
      </c>
      <c r="B109" t="s">
        <v>2131</v>
      </c>
      <c r="C109" s="25">
        <v>42</v>
      </c>
      <c r="D109" t="s">
        <v>2132</v>
      </c>
      <c r="E109" t="s">
        <v>2059</v>
      </c>
      <c r="F109" s="25">
        <v>2190</v>
      </c>
      <c r="G109" s="265">
        <v>55418100</v>
      </c>
      <c r="H109" s="25">
        <v>2046</v>
      </c>
      <c r="I109" s="265">
        <v>51787540</v>
      </c>
    </row>
    <row r="110" spans="1:9" x14ac:dyDescent="0.25">
      <c r="A110">
        <v>808569000</v>
      </c>
      <c r="B110" t="s">
        <v>2133</v>
      </c>
      <c r="C110" s="25">
        <v>6</v>
      </c>
      <c r="D110" t="s">
        <v>1959</v>
      </c>
      <c r="E110" t="s">
        <v>2009</v>
      </c>
      <c r="F110" s="25">
        <v>98</v>
      </c>
      <c r="G110" s="265">
        <v>2463020</v>
      </c>
      <c r="H110" s="25">
        <v>92</v>
      </c>
      <c r="I110" s="265">
        <v>2313080</v>
      </c>
    </row>
    <row r="111" spans="1:9" x14ac:dyDescent="0.25">
      <c r="A111">
        <v>812103008</v>
      </c>
      <c r="B111" t="s">
        <v>2134</v>
      </c>
      <c r="C111" s="25">
        <v>13</v>
      </c>
      <c r="D111" t="s">
        <v>2001</v>
      </c>
      <c r="E111" t="s">
        <v>2050</v>
      </c>
      <c r="F111" s="25">
        <v>168</v>
      </c>
      <c r="G111" s="265">
        <v>4328320</v>
      </c>
      <c r="H111" s="25">
        <v>157</v>
      </c>
      <c r="I111" s="265">
        <v>4045430</v>
      </c>
    </row>
    <row r="112" spans="1:9" x14ac:dyDescent="0.25">
      <c r="A112">
        <v>812425005</v>
      </c>
      <c r="B112" t="s">
        <v>2135</v>
      </c>
      <c r="C112" s="25">
        <v>2</v>
      </c>
      <c r="D112" t="s">
        <v>1956</v>
      </c>
      <c r="E112" t="s">
        <v>2076</v>
      </c>
      <c r="F112" s="25">
        <v>367</v>
      </c>
      <c r="G112" s="265">
        <v>9501330</v>
      </c>
      <c r="H112" s="25">
        <v>330</v>
      </c>
      <c r="I112" s="265">
        <v>8543700</v>
      </c>
    </row>
    <row r="113" spans="1:9" x14ac:dyDescent="0.25">
      <c r="A113">
        <v>820166000</v>
      </c>
      <c r="B113" t="s">
        <v>2136</v>
      </c>
      <c r="C113" s="25">
        <v>12</v>
      </c>
      <c r="D113" t="s">
        <v>1962</v>
      </c>
      <c r="E113" t="s">
        <v>2094</v>
      </c>
      <c r="F113" s="25">
        <v>152</v>
      </c>
      <c r="G113" s="265">
        <v>3811480</v>
      </c>
      <c r="H113" s="25">
        <v>133</v>
      </c>
      <c r="I113" s="265">
        <v>3323670</v>
      </c>
    </row>
    <row r="114" spans="1:9" x14ac:dyDescent="0.25">
      <c r="A114">
        <v>837158001</v>
      </c>
      <c r="B114" t="s">
        <v>2137</v>
      </c>
      <c r="C114" s="25">
        <v>13</v>
      </c>
      <c r="D114" t="s">
        <v>2001</v>
      </c>
      <c r="E114" t="s">
        <v>2012</v>
      </c>
      <c r="F114" s="25">
        <v>108</v>
      </c>
      <c r="G114" s="265">
        <v>2782920</v>
      </c>
      <c r="H114" s="25">
        <v>91</v>
      </c>
      <c r="I114" s="265">
        <v>2353090</v>
      </c>
    </row>
    <row r="115" spans="1:9" x14ac:dyDescent="0.25">
      <c r="A115">
        <v>856907007</v>
      </c>
      <c r="B115" t="s">
        <v>2138</v>
      </c>
      <c r="C115" s="25">
        <v>13</v>
      </c>
      <c r="D115" t="s">
        <v>2001</v>
      </c>
      <c r="E115" t="s">
        <v>2002</v>
      </c>
      <c r="F115" s="25">
        <v>1254</v>
      </c>
      <c r="G115" s="265">
        <v>32154460</v>
      </c>
      <c r="H115" s="25">
        <v>1102</v>
      </c>
      <c r="I115" s="265">
        <v>28166980</v>
      </c>
    </row>
    <row r="116" spans="1:9" x14ac:dyDescent="0.25">
      <c r="A116">
        <v>869336009</v>
      </c>
      <c r="B116" t="s">
        <v>2139</v>
      </c>
      <c r="C116" s="25">
        <v>2</v>
      </c>
      <c r="D116" t="s">
        <v>1956</v>
      </c>
      <c r="E116" t="s">
        <v>2087</v>
      </c>
      <c r="F116" s="25">
        <v>50</v>
      </c>
      <c r="G116" s="265">
        <v>1249500</v>
      </c>
      <c r="H116" s="25">
        <v>49</v>
      </c>
      <c r="I116" s="265">
        <v>1224510</v>
      </c>
    </row>
    <row r="117" spans="1:9" x14ac:dyDescent="0.25">
      <c r="A117">
        <v>892586004</v>
      </c>
      <c r="B117" t="s">
        <v>2140</v>
      </c>
      <c r="C117" s="25">
        <v>13</v>
      </c>
      <c r="D117" t="s">
        <v>2001</v>
      </c>
      <c r="E117" t="s">
        <v>2059</v>
      </c>
      <c r="F117" s="25">
        <v>481</v>
      </c>
      <c r="G117" s="265">
        <v>12363190</v>
      </c>
      <c r="H117" s="25">
        <v>454</v>
      </c>
      <c r="I117" s="265">
        <v>11679460</v>
      </c>
    </row>
    <row r="118" spans="1:9" x14ac:dyDescent="0.25">
      <c r="A118">
        <v>929460006</v>
      </c>
      <c r="B118" t="s">
        <v>2141</v>
      </c>
      <c r="C118" s="25">
        <v>2</v>
      </c>
      <c r="D118" t="s">
        <v>1956</v>
      </c>
      <c r="E118" t="s">
        <v>2061</v>
      </c>
      <c r="F118" s="25">
        <v>640</v>
      </c>
      <c r="G118" s="265">
        <v>16482600</v>
      </c>
      <c r="H118" s="25">
        <v>534</v>
      </c>
      <c r="I118" s="265">
        <v>13672660</v>
      </c>
    </row>
    <row r="119" spans="1:9" x14ac:dyDescent="0.25">
      <c r="A119">
        <v>932240009</v>
      </c>
      <c r="B119" t="s">
        <v>2142</v>
      </c>
      <c r="C119" s="25">
        <v>2</v>
      </c>
      <c r="D119" t="s">
        <v>1956</v>
      </c>
      <c r="E119" t="s">
        <v>2066</v>
      </c>
      <c r="F119" s="25">
        <v>1848</v>
      </c>
      <c r="G119" s="265">
        <v>47623520</v>
      </c>
      <c r="H119" s="25">
        <v>1781</v>
      </c>
      <c r="I119" s="26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 customWidth="1"/>
    <col min="2" max="2" width="50.33203125" style="26" customWidth="1"/>
    <col min="3" max="3" width="11.44140625" style="25" customWidth="1"/>
  </cols>
  <sheetData>
    <row r="1" spans="1:4" ht="15.75" customHeight="1" x14ac:dyDescent="0.3">
      <c r="A1" s="464" t="s">
        <v>2143</v>
      </c>
      <c r="B1" s="465"/>
      <c r="C1" s="466"/>
      <c r="D1" s="467"/>
    </row>
    <row r="2" spans="1:4" x14ac:dyDescent="0.25">
      <c r="D2" s="27"/>
    </row>
    <row r="3" spans="1:4" x14ac:dyDescent="0.25">
      <c r="A3" s="30" t="s">
        <v>2144</v>
      </c>
      <c r="B3" s="30" t="s">
        <v>2145</v>
      </c>
      <c r="C3" s="31" t="s">
        <v>653</v>
      </c>
    </row>
    <row r="4" spans="1:4" s="24" customFormat="1" ht="14.25" customHeight="1" x14ac:dyDescent="0.25">
      <c r="A4" s="29">
        <v>1</v>
      </c>
      <c r="B4" s="29" t="s">
        <v>2146</v>
      </c>
      <c r="C4" s="28">
        <v>0.05</v>
      </c>
    </row>
    <row r="5" spans="1:4" s="24" customFormat="1" ht="14.25" customHeight="1" x14ac:dyDescent="0.25">
      <c r="A5" s="29">
        <v>2</v>
      </c>
      <c r="B5" s="29" t="s">
        <v>2147</v>
      </c>
      <c r="C5" s="28">
        <v>0.05</v>
      </c>
    </row>
    <row r="6" spans="1:4" s="24" customFormat="1" ht="14.25" customHeight="1" x14ac:dyDescent="0.25">
      <c r="A6" s="29">
        <v>3</v>
      </c>
      <c r="B6" s="29" t="s">
        <v>2148</v>
      </c>
      <c r="C6" s="28">
        <v>0.05</v>
      </c>
    </row>
    <row r="7" spans="1:4" s="24" customFormat="1" ht="14.25" customHeight="1" x14ac:dyDescent="0.25">
      <c r="A7" s="29">
        <v>4</v>
      </c>
      <c r="B7" s="29" t="s">
        <v>1544</v>
      </c>
      <c r="C7" s="28" t="s">
        <v>462</v>
      </c>
    </row>
    <row r="8" spans="1:4" s="24" customFormat="1" ht="14.25" customHeight="1" x14ac:dyDescent="0.25">
      <c r="A8" s="29">
        <v>5</v>
      </c>
      <c r="B8" s="29" t="s">
        <v>2149</v>
      </c>
      <c r="C8" s="28">
        <v>0.05</v>
      </c>
    </row>
    <row r="9" spans="1:4" s="24" customFormat="1" ht="14.25" customHeight="1" x14ac:dyDescent="0.25">
      <c r="A9" s="29">
        <v>6</v>
      </c>
      <c r="B9" s="29" t="s">
        <v>2150</v>
      </c>
      <c r="C9" s="28">
        <v>0.05</v>
      </c>
    </row>
    <row r="10" spans="1:4" s="24" customFormat="1" ht="14.25" customHeight="1" x14ac:dyDescent="0.25">
      <c r="A10" s="29">
        <v>7</v>
      </c>
      <c r="B10" s="29" t="s">
        <v>2151</v>
      </c>
      <c r="C10" s="28">
        <v>0.05</v>
      </c>
    </row>
    <row r="11" spans="1:4" s="24" customFormat="1" ht="14.25" customHeight="1" x14ac:dyDescent="0.25">
      <c r="A11" s="29">
        <v>8</v>
      </c>
      <c r="B11" s="29" t="s">
        <v>2152</v>
      </c>
      <c r="C11" s="28">
        <v>0.05</v>
      </c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75" customHeight="1" x14ac:dyDescent="0.3">
      <c r="A2" s="464" t="s">
        <v>2154</v>
      </c>
      <c r="B2" s="467"/>
      <c r="C2" s="467"/>
      <c r="D2" s="467"/>
      <c r="E2" s="467"/>
    </row>
    <row r="4" spans="1:5" ht="15" customHeight="1" x14ac:dyDescent="0.25">
      <c r="B4" s="30" t="s">
        <v>2144</v>
      </c>
      <c r="C4" s="30" t="s">
        <v>2145</v>
      </c>
      <c r="D4" s="30" t="s">
        <v>653</v>
      </c>
    </row>
    <row r="5" spans="1:5" x14ac:dyDescent="0.25">
      <c r="B5" s="32">
        <v>1</v>
      </c>
      <c r="C5" s="33" t="s">
        <v>2155</v>
      </c>
      <c r="D5" s="34">
        <v>0.05</v>
      </c>
    </row>
    <row r="6" spans="1:5" x14ac:dyDescent="0.25">
      <c r="B6" s="32">
        <v>2</v>
      </c>
      <c r="C6" s="35" t="s">
        <v>2156</v>
      </c>
      <c r="D6" s="34">
        <v>0.05</v>
      </c>
    </row>
    <row r="7" spans="1:5" x14ac:dyDescent="0.25">
      <c r="B7" s="32">
        <v>3</v>
      </c>
      <c r="C7" s="35" t="s">
        <v>1441</v>
      </c>
      <c r="D7" s="34">
        <v>0.05</v>
      </c>
    </row>
    <row r="8" spans="1:5" x14ac:dyDescent="0.25">
      <c r="B8" s="32">
        <v>4</v>
      </c>
      <c r="C8" s="35" t="s">
        <v>2153</v>
      </c>
      <c r="D8" s="34">
        <v>0.05</v>
      </c>
    </row>
    <row r="9" spans="1:5" x14ac:dyDescent="0.25">
      <c r="B9" s="32">
        <v>5</v>
      </c>
      <c r="C9" s="35" t="s">
        <v>1829</v>
      </c>
      <c r="D9" s="34">
        <v>0.05</v>
      </c>
    </row>
    <row r="10" spans="1:5" x14ac:dyDescent="0.25">
      <c r="B10" s="32">
        <v>6</v>
      </c>
      <c r="C10" s="35" t="s">
        <v>2157</v>
      </c>
      <c r="D10" s="34">
        <v>0.05</v>
      </c>
    </row>
    <row r="11" spans="1:5" x14ac:dyDescent="0.25">
      <c r="B11" s="32">
        <v>7</v>
      </c>
      <c r="C11" s="35" t="s">
        <v>2158</v>
      </c>
      <c r="D11" s="34">
        <v>0.05</v>
      </c>
    </row>
    <row r="12" spans="1:5" x14ac:dyDescent="0.25">
      <c r="B12" s="32">
        <v>8</v>
      </c>
      <c r="C12" s="35" t="s">
        <v>2159</v>
      </c>
      <c r="D12" s="34">
        <v>0.05</v>
      </c>
    </row>
    <row r="13" spans="1:5" x14ac:dyDescent="0.25">
      <c r="B13" s="32">
        <v>9</v>
      </c>
      <c r="C13" s="35" t="s">
        <v>1643</v>
      </c>
      <c r="D13" s="34">
        <v>0.05</v>
      </c>
    </row>
    <row r="14" spans="1:5" x14ac:dyDescent="0.25">
      <c r="B14" s="32">
        <v>10</v>
      </c>
      <c r="C14" s="35" t="s">
        <v>2160</v>
      </c>
      <c r="D14" s="34">
        <v>0.05</v>
      </c>
    </row>
    <row r="15" spans="1:5" x14ac:dyDescent="0.25">
      <c r="B15" s="32">
        <v>11</v>
      </c>
      <c r="C15" s="35" t="s">
        <v>2161</v>
      </c>
      <c r="D15" s="34">
        <v>0.05</v>
      </c>
    </row>
    <row r="16" spans="1:5" x14ac:dyDescent="0.25">
      <c r="B16" s="32">
        <v>12</v>
      </c>
      <c r="C16" s="35" t="s">
        <v>2162</v>
      </c>
      <c r="D16" s="34">
        <v>0.05</v>
      </c>
    </row>
    <row r="17" spans="2:4" x14ac:dyDescent="0.25">
      <c r="B17" s="32">
        <v>13</v>
      </c>
      <c r="C17" s="35" t="s">
        <v>998</v>
      </c>
      <c r="D17" s="34">
        <v>0.05</v>
      </c>
    </row>
    <row r="18" spans="2:4" x14ac:dyDescent="0.25">
      <c r="B18" s="32">
        <v>14</v>
      </c>
      <c r="C18" s="35" t="s">
        <v>2163</v>
      </c>
      <c r="D18" s="34">
        <v>0.05</v>
      </c>
    </row>
    <row r="19" spans="2:4" x14ac:dyDescent="0.25">
      <c r="B19" s="32">
        <v>15</v>
      </c>
      <c r="C19" s="35" t="s">
        <v>2164</v>
      </c>
      <c r="D19" s="34">
        <v>0.05</v>
      </c>
    </row>
    <row r="20" spans="2:4" x14ac:dyDescent="0.25">
      <c r="B20" s="32">
        <v>16</v>
      </c>
      <c r="C20" s="35" t="s">
        <v>2165</v>
      </c>
      <c r="D20" s="34">
        <v>0.05</v>
      </c>
    </row>
    <row r="21" spans="2:4" x14ac:dyDescent="0.25">
      <c r="B21" s="32">
        <v>17</v>
      </c>
      <c r="C21" s="35" t="s">
        <v>1028</v>
      </c>
      <c r="D21" s="34">
        <v>0.05</v>
      </c>
    </row>
    <row r="22" spans="2:4" x14ac:dyDescent="0.25">
      <c r="B22" s="32">
        <v>18</v>
      </c>
      <c r="C22" s="35" t="s">
        <v>2166</v>
      </c>
      <c r="D22" s="34">
        <v>0.05</v>
      </c>
    </row>
    <row r="23" spans="2:4" x14ac:dyDescent="0.25">
      <c r="B23" s="32">
        <v>19</v>
      </c>
      <c r="C23" s="35" t="s">
        <v>2167</v>
      </c>
      <c r="D23" s="34">
        <v>0.05</v>
      </c>
    </row>
    <row r="24" spans="2:4" x14ac:dyDescent="0.25">
      <c r="B24" s="32">
        <v>20</v>
      </c>
      <c r="C24" s="35" t="s">
        <v>2168</v>
      </c>
      <c r="D24" s="34">
        <v>0.05</v>
      </c>
    </row>
    <row r="25" spans="2:4" x14ac:dyDescent="0.25">
      <c r="B25" s="32">
        <v>21</v>
      </c>
      <c r="C25" s="35" t="s">
        <v>2169</v>
      </c>
      <c r="D25" s="34">
        <v>0.05</v>
      </c>
    </row>
    <row r="26" spans="2:4" x14ac:dyDescent="0.25">
      <c r="B26" s="32">
        <v>22</v>
      </c>
      <c r="C26" s="35" t="s">
        <v>2170</v>
      </c>
      <c r="D26" s="34">
        <v>0.05</v>
      </c>
    </row>
    <row r="27" spans="2:4" x14ac:dyDescent="0.25">
      <c r="B27" s="32">
        <v>23</v>
      </c>
      <c r="C27" s="35" t="s">
        <v>2171</v>
      </c>
      <c r="D27" s="34">
        <v>0.05</v>
      </c>
    </row>
    <row r="28" spans="2:4" x14ac:dyDescent="0.25">
      <c r="B28" s="32">
        <v>24</v>
      </c>
      <c r="C28" s="35" t="s">
        <v>2172</v>
      </c>
      <c r="D28" s="34">
        <v>0.05</v>
      </c>
    </row>
    <row r="29" spans="2:4" x14ac:dyDescent="0.25">
      <c r="B29" s="32">
        <v>25</v>
      </c>
      <c r="C29" s="35" t="s">
        <v>2173</v>
      </c>
      <c r="D29" s="34">
        <v>0.05</v>
      </c>
    </row>
    <row r="30" spans="2:4" x14ac:dyDescent="0.25">
      <c r="B30" s="32">
        <v>26</v>
      </c>
      <c r="C30" s="35" t="s">
        <v>2174</v>
      </c>
      <c r="D30" s="34">
        <v>0.05</v>
      </c>
    </row>
    <row r="31" spans="2:4" x14ac:dyDescent="0.25">
      <c r="B31" s="32">
        <v>27</v>
      </c>
      <c r="C31" s="35" t="s">
        <v>2175</v>
      </c>
      <c r="D31" s="34">
        <v>0.05</v>
      </c>
    </row>
    <row r="32" spans="2:4" x14ac:dyDescent="0.25">
      <c r="B32" s="32">
        <v>28</v>
      </c>
      <c r="C32" s="35" t="s">
        <v>2176</v>
      </c>
      <c r="D32" s="34">
        <v>0.05</v>
      </c>
    </row>
    <row r="33" spans="2:4" x14ac:dyDescent="0.25">
      <c r="B33" s="32">
        <v>29</v>
      </c>
      <c r="C33" s="35" t="s">
        <v>1414</v>
      </c>
      <c r="D33" s="34">
        <v>0.05</v>
      </c>
    </row>
    <row r="34" spans="2:4" x14ac:dyDescent="0.25">
      <c r="B34" s="32">
        <v>30</v>
      </c>
      <c r="C34" s="35" t="s">
        <v>2177</v>
      </c>
      <c r="D34" s="34">
        <v>0.05</v>
      </c>
    </row>
    <row r="35" spans="2:4" x14ac:dyDescent="0.25">
      <c r="B35" s="32">
        <v>31</v>
      </c>
      <c r="C35" s="35" t="s">
        <v>1536</v>
      </c>
      <c r="D35" s="34">
        <v>0.05</v>
      </c>
    </row>
    <row r="36" spans="2:4" x14ac:dyDescent="0.25">
      <c r="B36" s="32">
        <v>32</v>
      </c>
      <c r="C36" s="35" t="s">
        <v>2178</v>
      </c>
      <c r="D36" s="34">
        <v>0.05</v>
      </c>
    </row>
    <row r="37" spans="2:4" x14ac:dyDescent="0.25">
      <c r="B37" s="36">
        <v>33</v>
      </c>
      <c r="C37" s="37" t="s">
        <v>2179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78" footer="0.31496062992125978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75" customHeight="1" x14ac:dyDescent="0.3">
      <c r="A1" s="464" t="s">
        <v>2143</v>
      </c>
      <c r="B1" s="467"/>
      <c r="C1" s="467"/>
      <c r="D1" s="467"/>
    </row>
    <row r="2" spans="1:4" ht="15" customHeight="1" x14ac:dyDescent="0.25">
      <c r="A2" s="26"/>
      <c r="B2" s="26"/>
      <c r="C2" s="25"/>
      <c r="D2" s="27"/>
    </row>
    <row r="3" spans="1:4" ht="15" customHeight="1" x14ac:dyDescent="0.25">
      <c r="A3" s="30" t="s">
        <v>2144</v>
      </c>
      <c r="B3" s="30" t="s">
        <v>2145</v>
      </c>
      <c r="C3" s="31" t="s">
        <v>653</v>
      </c>
    </row>
    <row r="4" spans="1:4" ht="14.25" customHeight="1" x14ac:dyDescent="0.25">
      <c r="A4" s="29">
        <v>1</v>
      </c>
      <c r="B4" s="29" t="s">
        <v>2146</v>
      </c>
      <c r="C4" s="28">
        <v>0.05</v>
      </c>
      <c r="D4" s="24"/>
    </row>
    <row r="5" spans="1:4" ht="14.25" customHeight="1" x14ac:dyDescent="0.25">
      <c r="A5" s="29">
        <v>2</v>
      </c>
      <c r="B5" s="29" t="s">
        <v>2147</v>
      </c>
      <c r="C5" s="28">
        <v>0.05</v>
      </c>
      <c r="D5" s="24"/>
    </row>
    <row r="6" spans="1:4" ht="14.25" customHeight="1" x14ac:dyDescent="0.25">
      <c r="A6" s="29">
        <v>3</v>
      </c>
      <c r="B6" s="29" t="s">
        <v>2148</v>
      </c>
      <c r="C6" s="28">
        <v>0.05</v>
      </c>
      <c r="D6" s="24"/>
    </row>
    <row r="7" spans="1:4" ht="14.25" customHeight="1" x14ac:dyDescent="0.25">
      <c r="A7" s="29">
        <v>4</v>
      </c>
      <c r="B7" s="29" t="s">
        <v>1544</v>
      </c>
      <c r="C7" s="28" t="s">
        <v>462</v>
      </c>
      <c r="D7" s="24"/>
    </row>
    <row r="8" spans="1:4" ht="14.25" customHeight="1" x14ac:dyDescent="0.25">
      <c r="A8" s="29">
        <v>5</v>
      </c>
      <c r="B8" s="29" t="s">
        <v>2149</v>
      </c>
      <c r="C8" s="28">
        <v>0.05</v>
      </c>
      <c r="D8" s="24"/>
    </row>
    <row r="9" spans="1:4" ht="14.25" customHeight="1" x14ac:dyDescent="0.25">
      <c r="A9" s="29">
        <v>6</v>
      </c>
      <c r="B9" s="29" t="s">
        <v>2150</v>
      </c>
      <c r="C9" s="28">
        <v>0.05</v>
      </c>
      <c r="D9" s="24"/>
    </row>
    <row r="10" spans="1:4" ht="14.25" customHeight="1" x14ac:dyDescent="0.25">
      <c r="A10" s="29">
        <v>7</v>
      </c>
      <c r="B10" s="29" t="s">
        <v>2151</v>
      </c>
      <c r="C10" s="28">
        <v>0.05</v>
      </c>
      <c r="D10" s="24"/>
    </row>
    <row r="11" spans="1:4" ht="14.25" customHeight="1" x14ac:dyDescent="0.25">
      <c r="A11" s="29">
        <v>8</v>
      </c>
      <c r="B11" s="29" t="s">
        <v>2152</v>
      </c>
      <c r="C11" s="28">
        <v>0.05</v>
      </c>
      <c r="D11" s="24"/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patricio.ventasmhc@gmail.com</cp:lastModifiedBy>
  <cp:lastPrinted>2026-05-14T19:38:00Z</cp:lastPrinted>
  <dcterms:created xsi:type="dcterms:W3CDTF">2012-01-21T00:26:35Z</dcterms:created>
  <dcterms:modified xsi:type="dcterms:W3CDTF">2026-07-22T18:55:40Z</dcterms:modified>
</cp:coreProperties>
</file>