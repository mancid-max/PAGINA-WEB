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nuh\Downloads\"/>
    </mc:Choice>
  </mc:AlternateContent>
  <xr:revisionPtr revIDLastSave="0" documentId="8_{AB5287AC-BA64-41EB-9B23-14C92AF60CEF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TOMA DE PEDIDOS" sheetId="5" r:id="rId1"/>
    <sheet name="Hoja2" sheetId="26" state="hidden" r:id="rId2"/>
    <sheet name="Hoja1" sheetId="25" state="hidden" r:id="rId3"/>
    <sheet name="BD jeans Dama" sheetId="6" r:id="rId4"/>
    <sheet name="Respaldo" sheetId="24" state="hidden" r:id="rId5"/>
    <sheet name="BASE DE DATOS OFICIAL" sheetId="16" r:id="rId6"/>
    <sheet name="BD_COMPARATIVA" sheetId="23" state="hidden" r:id="rId7"/>
    <sheet name="TRAYECTORIA" sheetId="19" state="hidden" r:id="rId8"/>
    <sheet name="DESCUENTO COLE 18" sheetId="20" state="hidden" r:id="rId9"/>
    <sheet name="CONTRAFACTURA" sheetId="21" state="hidden" r:id="rId10"/>
  </sheets>
  <definedNames>
    <definedName name="_xlnm._FilterDatabase" localSheetId="5" hidden="1">'BASE DE DATOS OFICIAL'!$A$124:$H$156</definedName>
    <definedName name="_xlnm._FilterDatabase" localSheetId="3" hidden="1">'BD jeans Dama'!$A$279:$E$279</definedName>
    <definedName name="_xlnm.Print_Area" localSheetId="3">'BD jeans Dama'!#REF!</definedName>
    <definedName name="BB">#REF!</definedName>
    <definedName name="CCC">#REF!</definedName>
    <definedName name="div">'BD jeans Dama'!#REF!</definedName>
    <definedName name="his">#REF!</definedName>
    <definedName name="hist">#REF!</definedName>
    <definedName name="JEAN">'BD jeans Dama'!#REF!</definedName>
    <definedName name="jeandama">'BD jeans Dama'!#REF!</definedName>
    <definedName name="jeans">'BD jeans Dama'!$A$1:$E$1404</definedName>
    <definedName name="jeanss">'BD jeans Dama'!#REF!</definedName>
    <definedName name="jeansss">'BD jeans Dama'!$A$1:$E$4044</definedName>
    <definedName name="jn">'BD jeans Dama'!#REF!</definedName>
    <definedName name="jnss">'BD jeans Dama'!$A$2:$E$518</definedName>
    <definedName name="L">'BASE DE DATOS OFICIAL'!$A$1:$D$126</definedName>
    <definedName name="mahis">#REF!</definedName>
    <definedName name="matof">'BASE DE DATOS OFICIAL'!$A$16:$AF$371</definedName>
    <definedName name="matrix">#REF!</definedName>
    <definedName name="matrizoficial">'BASE DE DATOS OFICIAL'!$16:$65452</definedName>
    <definedName name="MAX">#REF!</definedName>
    <definedName name="MAXX">#REF!</definedName>
    <definedName name="PLANILLA">#REF!</definedName>
    <definedName name="PLANILLA1">'BASE DE DATOS OFICIAL'!$A$3:$CU$373</definedName>
    <definedName name="PLANILLA2">#REF!</definedName>
    <definedName name="PLANILLAMOD">'BASE DE DATOS OFICIAL'!$A$16:$V$122</definedName>
    <definedName name="RUT">#REF!</definedName>
    <definedName name="RUTES">#REF!</definedName>
    <definedName name="VENTAS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65" i="16" l="1"/>
  <c r="Z162" i="16"/>
  <c r="Z159" i="16"/>
  <c r="Z160" i="16"/>
  <c r="Z161" i="16"/>
  <c r="Z158" i="16"/>
  <c r="Z156" i="16"/>
  <c r="Z157" i="16"/>
  <c r="Z155" i="16"/>
  <c r="Z154" i="16"/>
  <c r="Z153" i="16"/>
  <c r="Z150" i="16"/>
  <c r="Z149" i="16"/>
  <c r="Z148" i="16"/>
  <c r="Z145" i="16"/>
  <c r="Z143" i="16"/>
  <c r="Z142" i="16"/>
  <c r="Z138" i="16"/>
  <c r="Z130" i="16"/>
  <c r="Z131" i="16"/>
  <c r="Z132" i="16"/>
  <c r="Z133" i="16"/>
  <c r="Z134" i="16"/>
  <c r="Z129" i="16"/>
  <c r="Z126" i="16"/>
  <c r="Z124" i="16"/>
  <c r="Z122" i="16"/>
  <c r="Z123" i="16"/>
  <c r="Z120" i="16"/>
  <c r="Z121" i="16"/>
  <c r="Z11" i="16"/>
  <c r="Z12" i="16"/>
  <c r="Z13" i="16"/>
  <c r="Z14" i="16"/>
  <c r="Z15" i="16"/>
  <c r="Z16" i="16"/>
  <c r="Z17" i="16"/>
  <c r="Z18" i="16"/>
  <c r="Z19" i="16"/>
  <c r="Z20" i="16"/>
  <c r="Z21" i="16"/>
  <c r="Z22" i="16"/>
  <c r="Z23" i="16"/>
  <c r="Z24" i="16"/>
  <c r="Z25" i="16"/>
  <c r="Z26" i="16"/>
  <c r="Z27" i="16"/>
  <c r="Z28" i="16"/>
  <c r="Z29" i="16"/>
  <c r="Z30" i="16"/>
  <c r="Z31" i="16"/>
  <c r="Z32" i="16"/>
  <c r="Z33" i="16"/>
  <c r="Z34" i="16"/>
  <c r="Z35" i="16"/>
  <c r="Z36" i="16"/>
  <c r="Z37" i="16"/>
  <c r="Z38" i="16"/>
  <c r="Z39" i="16"/>
  <c r="Z40" i="16"/>
  <c r="Z41" i="16"/>
  <c r="Z42" i="16"/>
  <c r="Z43" i="16"/>
  <c r="Z44" i="16"/>
  <c r="Z45" i="16"/>
  <c r="Z46" i="16"/>
  <c r="Z47" i="16"/>
  <c r="Z48" i="16"/>
  <c r="Z49" i="16"/>
  <c r="Z50" i="16"/>
  <c r="Z51" i="16"/>
  <c r="Z52" i="16"/>
  <c r="Z53" i="16"/>
  <c r="Z54" i="16"/>
  <c r="Z55" i="16"/>
  <c r="Z56" i="16"/>
  <c r="Z57" i="16"/>
  <c r="Z58" i="16"/>
  <c r="Z59" i="16"/>
  <c r="Z60" i="16"/>
  <c r="Z61" i="16"/>
  <c r="Z62" i="16"/>
  <c r="Z63" i="16"/>
  <c r="Z64" i="16"/>
  <c r="Z65" i="16"/>
  <c r="Z66" i="16"/>
  <c r="Z67" i="16"/>
  <c r="Z68" i="16"/>
  <c r="Z69" i="16"/>
  <c r="Z70" i="16"/>
  <c r="Z71" i="16"/>
  <c r="Z72" i="16"/>
  <c r="Z73" i="16"/>
  <c r="Z74" i="16"/>
  <c r="Z75" i="16"/>
  <c r="Z76" i="16"/>
  <c r="Z77" i="16"/>
  <c r="Z78" i="16"/>
  <c r="Z79" i="16"/>
  <c r="Z80" i="16"/>
  <c r="Z81" i="16"/>
  <c r="Z82" i="16"/>
  <c r="Z83" i="16"/>
  <c r="Z84" i="16"/>
  <c r="Z85" i="16"/>
  <c r="Z86" i="16"/>
  <c r="Z87" i="16"/>
  <c r="Z88" i="16"/>
  <c r="Z89" i="16"/>
  <c r="Z90" i="16"/>
  <c r="Z91" i="16"/>
  <c r="Z92" i="16"/>
  <c r="Z93" i="16"/>
  <c r="Z94" i="16"/>
  <c r="Z95" i="16"/>
  <c r="Z96" i="16"/>
  <c r="Z97" i="16"/>
  <c r="Z98" i="16"/>
  <c r="Z99" i="16"/>
  <c r="Z100" i="16"/>
  <c r="Z101" i="16"/>
  <c r="Z102" i="16"/>
  <c r="Z103" i="16"/>
  <c r="Z104" i="16"/>
  <c r="Z105" i="16"/>
  <c r="Z106" i="16"/>
  <c r="Z107" i="16"/>
  <c r="Z108" i="16"/>
  <c r="Z109" i="16"/>
  <c r="Z110" i="16"/>
  <c r="Z111" i="16"/>
  <c r="Z112" i="16"/>
  <c r="Z113" i="16"/>
  <c r="Z114" i="16"/>
  <c r="Z115" i="16"/>
  <c r="Z116" i="16"/>
  <c r="Z117" i="16"/>
  <c r="Z118" i="16"/>
  <c r="Z119" i="16"/>
  <c r="Z8" i="16"/>
  <c r="Z9" i="16"/>
  <c r="Z10" i="16"/>
  <c r="Z5" i="16"/>
  <c r="Z6" i="16"/>
  <c r="Z7" i="16"/>
  <c r="Z4" i="16"/>
  <c r="U109" i="24"/>
  <c r="U99" i="24"/>
  <c r="U96" i="24"/>
  <c r="U94" i="24"/>
  <c r="U91" i="24"/>
  <c r="U77" i="24"/>
  <c r="U63" i="24"/>
  <c r="U24" i="24"/>
  <c r="U22" i="24"/>
  <c r="U18" i="24"/>
  <c r="U7" i="24"/>
  <c r="D3" i="5"/>
  <c r="K11" i="5"/>
  <c r="K1" i="5"/>
  <c r="K3" i="5"/>
  <c r="K2" i="5"/>
  <c r="K4" i="5"/>
  <c r="R6" i="5"/>
  <c r="R7" i="5"/>
  <c r="R8" i="5"/>
  <c r="K6" i="5"/>
  <c r="K7" i="5"/>
  <c r="K8" i="5"/>
  <c r="K9" i="5"/>
  <c r="D7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P29" i="5"/>
  <c r="P40" i="5"/>
  <c r="S40" i="5" s="1"/>
  <c r="P39" i="5"/>
  <c r="P38" i="5"/>
  <c r="P37" i="5"/>
  <c r="R42" i="5"/>
  <c r="P42" i="5"/>
  <c r="D42" i="5"/>
  <c r="C42" i="5"/>
  <c r="B42" i="5"/>
  <c r="R41" i="5"/>
  <c r="P41" i="5"/>
  <c r="D41" i="5"/>
  <c r="C41" i="5"/>
  <c r="B41" i="5"/>
  <c r="P36" i="5"/>
  <c r="P35" i="5"/>
  <c r="S13" i="5"/>
  <c r="P13" i="5"/>
  <c r="R13" i="5"/>
  <c r="P15" i="5"/>
  <c r="P16" i="5"/>
  <c r="P43" i="5"/>
  <c r="D43" i="5"/>
  <c r="C43" i="5"/>
  <c r="B43" i="5"/>
  <c r="R43" i="5"/>
  <c r="P34" i="5"/>
  <c r="P33" i="5"/>
  <c r="P32" i="5"/>
  <c r="P31" i="5"/>
  <c r="P30" i="5"/>
  <c r="P28" i="5"/>
  <c r="P27" i="5"/>
  <c r="P26" i="5"/>
  <c r="P25" i="5"/>
  <c r="P24" i="5"/>
  <c r="P23" i="5"/>
  <c r="P22" i="5"/>
  <c r="P21" i="5"/>
  <c r="P20" i="5"/>
  <c r="P19" i="5"/>
  <c r="P18" i="5"/>
  <c r="P17" i="5"/>
  <c r="B44" i="5"/>
  <c r="C44" i="5"/>
  <c r="D44" i="5"/>
  <c r="P44" i="5"/>
  <c r="R44" i="5"/>
  <c r="B45" i="5"/>
  <c r="C45" i="5"/>
  <c r="D45" i="5"/>
  <c r="P45" i="5"/>
  <c r="R45" i="5"/>
  <c r="B46" i="5"/>
  <c r="C46" i="5"/>
  <c r="D46" i="5"/>
  <c r="P46" i="5"/>
  <c r="R46" i="5"/>
  <c r="B47" i="5"/>
  <c r="C47" i="5"/>
  <c r="D47" i="5"/>
  <c r="P47" i="5"/>
  <c r="R47" i="5"/>
  <c r="B48" i="5"/>
  <c r="C48" i="5"/>
  <c r="D48" i="5"/>
  <c r="P48" i="5"/>
  <c r="R48" i="5"/>
  <c r="K13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U18" i="16"/>
  <c r="U109" i="16"/>
  <c r="U99" i="16"/>
  <c r="U96" i="16"/>
  <c r="U94" i="16"/>
  <c r="U91" i="16"/>
  <c r="U77" i="16"/>
  <c r="U63" i="16"/>
  <c r="U24" i="16"/>
  <c r="U22" i="16"/>
  <c r="U7" i="16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S42" i="5" l="1"/>
  <c r="S28" i="5"/>
  <c r="S36" i="5"/>
  <c r="S25" i="5"/>
  <c r="S39" i="5"/>
  <c r="S37" i="5"/>
  <c r="S38" i="5"/>
  <c r="S15" i="5"/>
  <c r="S43" i="5"/>
  <c r="S60" i="5"/>
  <c r="S52" i="5"/>
  <c r="S44" i="5"/>
  <c r="S58" i="5"/>
  <c r="S50" i="5"/>
  <c r="S34" i="5"/>
  <c r="S33" i="5"/>
  <c r="S49" i="5"/>
  <c r="S32" i="5"/>
  <c r="S24" i="5"/>
  <c r="S16" i="5"/>
  <c r="S41" i="5"/>
  <c r="S57" i="5"/>
  <c r="S31" i="5"/>
  <c r="S54" i="5"/>
  <c r="S30" i="5"/>
  <c r="S22" i="5"/>
  <c r="S56" i="5"/>
  <c r="S45" i="5"/>
  <c r="S21" i="5"/>
  <c r="S48" i="5"/>
  <c r="S55" i="5"/>
  <c r="S29" i="5"/>
  <c r="S26" i="5"/>
  <c r="S59" i="5"/>
  <c r="S51" i="5"/>
  <c r="S35" i="5"/>
  <c r="S46" i="5"/>
  <c r="S27" i="5"/>
  <c r="S47" i="5"/>
  <c r="S61" i="5"/>
  <c r="S53" i="5"/>
  <c r="S23" i="5"/>
  <c r="S20" i="5"/>
  <c r="S19" i="5"/>
  <c r="S18" i="5"/>
  <c r="S17" i="5"/>
  <c r="P62" i="5"/>
  <c r="S62" i="5" l="1"/>
  <c r="S63" i="5" s="1"/>
  <c r="S6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Angelica Gonzalez</author>
    <author>Administración</author>
  </authors>
  <commentList>
    <comment ref="C17" authorId="0" shapeId="0" xr:uid="{721FB080-EA51-44F9-894E-8299F84E4F9F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" authorId="0" shapeId="0" xr:uid="{F8C37420-885B-434F-A35F-1400FB55E96C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3" authorId="0" shapeId="0" xr:uid="{4AC27E7A-DC68-4EC2-9C69-96A63B1FF08D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7" authorId="0" shapeId="0" xr:uid="{C1E0B930-BE51-4C1F-94E6-A55EBFC75685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9" authorId="0" shapeId="0" xr:uid="{1C8453BF-33F2-4036-AB44-ED6FD71EACA7}">
      <text>
        <r>
          <rPr>
            <sz val="9"/>
            <color indexed="81"/>
            <rFont val="Tahoma"/>
            <family val="2"/>
          </rPr>
          <t xml:space="preserve">Etiqueta Amarilla
</t>
        </r>
      </text>
    </comment>
    <comment ref="C56" authorId="0" shapeId="0" xr:uid="{762A7383-2E3B-4B60-B288-8358CD10C2EB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" authorId="1" shapeId="0" xr:uid="{FEE4D711-F59D-42EF-A7E2-9C7D2F37B8DC}">
      <text>
        <r>
          <rPr>
            <b/>
            <sz val="9"/>
            <color indexed="81"/>
            <rFont val="Tahoma"/>
            <family val="2"/>
          </rPr>
          <t>Administración:</t>
        </r>
        <r>
          <rPr>
            <sz val="9"/>
            <color indexed="81"/>
            <rFont val="Tahoma"/>
            <family val="2"/>
          </rPr>
          <t xml:space="preserve">
CAMBIO DE RAZON SOCIAL
</t>
        </r>
      </text>
    </comment>
    <comment ref="C63" authorId="0" shapeId="0" xr:uid="{67C984D1-DB0A-4D00-BC7B-6571DE91AD2A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4" authorId="0" shapeId="0" xr:uid="{50760B63-5B52-4524-A054-C2CCF56C6EB2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6" authorId="0" shapeId="0" xr:uid="{37926857-30C9-4F3B-A9BE-BFD14E746988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2" authorId="0" shapeId="0" xr:uid="{160BD269-EE91-4AEE-94BE-A0EBD221894A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90" authorId="0" shapeId="0" xr:uid="{CDDBBFFF-C59A-4E60-BBE2-B5DA1FBC3351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3" authorId="1" shapeId="0" xr:uid="{87F04C82-D1B0-47DC-AF72-659E0A9AD2D7}">
      <text>
        <r>
          <rPr>
            <b/>
            <sz val="9"/>
            <color indexed="81"/>
            <rFont val="Tahoma"/>
            <family val="2"/>
          </rPr>
          <t>Administración:</t>
        </r>
        <r>
          <rPr>
            <sz val="9"/>
            <color indexed="81"/>
            <rFont val="Tahoma"/>
            <family val="2"/>
          </rPr>
          <t xml:space="preserve">
CLIENTE CON DEUDA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Angelica Gonzalez</author>
    <author>Administración</author>
  </authors>
  <commentList>
    <comment ref="C17" authorId="0" shapeId="0" xr:uid="{DC1F49C4-2071-40F9-B204-E9C075AA7714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0" authorId="0" shapeId="0" xr:uid="{CB50EB86-B69C-4EC0-B4B4-1681940BC3A2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3" authorId="0" shapeId="0" xr:uid="{0CB9C909-C496-4283-80A4-4858E0641DDD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7" authorId="0" shapeId="0" xr:uid="{2EB3F482-493C-4EB3-9B92-1A2F4AC0B368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9" authorId="0" shapeId="0" xr:uid="{AB489AF5-946D-42C5-8CD7-67B66C47E7DB}">
      <text>
        <r>
          <rPr>
            <sz val="9"/>
            <color indexed="81"/>
            <rFont val="Tahoma"/>
            <family val="2"/>
          </rPr>
          <t xml:space="preserve">Etiqueta Amarilla
</t>
        </r>
      </text>
    </comment>
    <comment ref="C56" authorId="0" shapeId="0" xr:uid="{FB4B7138-5998-47C1-8E88-C4058D78E6E3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7" authorId="1" shapeId="0" xr:uid="{00000000-0006-0000-0200-000001000000}">
      <text>
        <r>
          <rPr>
            <b/>
            <sz val="9"/>
            <color indexed="81"/>
            <rFont val="Tahoma"/>
            <family val="2"/>
          </rPr>
          <t>Administración:</t>
        </r>
        <r>
          <rPr>
            <sz val="9"/>
            <color indexed="81"/>
            <rFont val="Tahoma"/>
            <family val="2"/>
          </rPr>
          <t xml:space="preserve">
CAMBIO DE RAZON SOCIAL
</t>
        </r>
      </text>
    </comment>
    <comment ref="C63" authorId="0" shapeId="0" xr:uid="{FFDC00EB-B1E5-4BC8-A650-B66376AFC995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4" authorId="0" shapeId="0" xr:uid="{14BA1965-BDAD-48E1-AB66-79E3E8ACC021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76" authorId="0" shapeId="0" xr:uid="{884D16C7-BB59-45EB-AE06-486160287587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82" authorId="0" shapeId="0" xr:uid="{8F831896-46EC-488A-99C9-B3CB63D30E4A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90" authorId="0" shapeId="0" xr:uid="{4593A205-7EBE-4D32-BF2A-EB0356ECC6E1}">
      <text>
        <r>
          <rPr>
            <b/>
            <sz val="9"/>
            <color indexed="81"/>
            <rFont val="Tahoma"/>
            <family val="2"/>
          </rPr>
          <t>Etiqueta Amarilla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3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Administración:</t>
        </r>
        <r>
          <rPr>
            <sz val="9"/>
            <color indexed="81"/>
            <rFont val="Tahoma"/>
            <family val="2"/>
          </rPr>
          <t xml:space="preserve">
CLIENTE CON DEUDA
</t>
        </r>
      </text>
    </comment>
  </commentList>
</comments>
</file>

<file path=xl/sharedStrings.xml><?xml version="1.0" encoding="utf-8"?>
<sst xmlns="http://schemas.openxmlformats.org/spreadsheetml/2006/main" count="5875" uniqueCount="2121">
  <si>
    <t>TRANSPORTE</t>
  </si>
  <si>
    <t>FECHA</t>
  </si>
  <si>
    <t>RAZON SOCIAL</t>
  </si>
  <si>
    <t>DIRECCION</t>
  </si>
  <si>
    <t>CIUDAD</t>
  </si>
  <si>
    <t>RUT</t>
  </si>
  <si>
    <t>TELEFONO</t>
  </si>
  <si>
    <t>CELULAR</t>
  </si>
  <si>
    <t>COD</t>
  </si>
  <si>
    <t>ARTICULO</t>
  </si>
  <si>
    <t>TIRO</t>
  </si>
  <si>
    <t>PRENDAS</t>
  </si>
  <si>
    <t>VALOR</t>
  </si>
  <si>
    <t>TOTAL</t>
  </si>
  <si>
    <t>IVA 19%</t>
  </si>
  <si>
    <t>CORTE</t>
  </si>
  <si>
    <t>S</t>
  </si>
  <si>
    <t>ATENCION</t>
  </si>
  <si>
    <t>VENDEDOR</t>
  </si>
  <si>
    <t>TOTAL NETO</t>
  </si>
  <si>
    <t>OBSERVACIONES</t>
  </si>
  <si>
    <t>GIRO</t>
  </si>
  <si>
    <t>NOMBRE TIENDA</t>
  </si>
  <si>
    <t>M</t>
  </si>
  <si>
    <t>L</t>
  </si>
  <si>
    <t xml:space="preserve">MANUFACTURAS e IMPORTACIONES </t>
  </si>
  <si>
    <t>Av. Peru 710, Recoleta-Santiago</t>
  </si>
  <si>
    <t>www.mohicano.cl</t>
  </si>
  <si>
    <t>CONDICIONES DE PAGO</t>
  </si>
  <si>
    <t>COMUNA</t>
  </si>
  <si>
    <t>E-MAIL</t>
  </si>
  <si>
    <t>TEMPORADA</t>
  </si>
  <si>
    <t xml:space="preserve">Autorizo para comunicar a terceros la mora o simple retardo de la obligación, en la base de datos SICOM </t>
  </si>
  <si>
    <t>76.640.080-9</t>
  </si>
  <si>
    <t>81.242.500-5</t>
  </si>
  <si>
    <t>77.359.210-1</t>
  </si>
  <si>
    <t>76.072.224-3</t>
  </si>
  <si>
    <t>86.933.600-9</t>
  </si>
  <si>
    <t>92.946.000-6</t>
  </si>
  <si>
    <t>76.183.909-8</t>
  </si>
  <si>
    <t>11.564.359-2</t>
  </si>
  <si>
    <t>85.690.700-7</t>
  </si>
  <si>
    <t>11.684.129-0</t>
  </si>
  <si>
    <t>76.048.404-0</t>
  </si>
  <si>
    <t>77.576.530-5</t>
  </si>
  <si>
    <t>77.030.130-0</t>
  </si>
  <si>
    <t>93.224.000-9</t>
  </si>
  <si>
    <t>76.017.630-3</t>
  </si>
  <si>
    <t>82.016.600-0</t>
  </si>
  <si>
    <t>70.002.640-K</t>
  </si>
  <si>
    <t>79.982.490-6</t>
  </si>
  <si>
    <t>89.258.600-4</t>
  </si>
  <si>
    <t>14.405.243-9</t>
  </si>
  <si>
    <t>11.407.997-9</t>
  </si>
  <si>
    <t>77.029.510-6</t>
  </si>
  <si>
    <t>10.026.410-2</t>
  </si>
  <si>
    <t>76.121.220-6</t>
  </si>
  <si>
    <t>96.732.380-2</t>
  </si>
  <si>
    <t>76.079.186-5</t>
  </si>
  <si>
    <t>12.003.736-6</t>
  </si>
  <si>
    <t>82.120.700-2</t>
  </si>
  <si>
    <t>18.282.453-4</t>
  </si>
  <si>
    <t>79.862.960-3</t>
  </si>
  <si>
    <t>96.589.040-8</t>
  </si>
  <si>
    <t>76.099.347-6</t>
  </si>
  <si>
    <t>76.198.195-1</t>
  </si>
  <si>
    <t>76.049.842-4</t>
  </si>
  <si>
    <t>76.339.520-0</t>
  </si>
  <si>
    <t>76.168.779-4</t>
  </si>
  <si>
    <t>12.323.239-9</t>
  </si>
  <si>
    <t>76.013.196-2</t>
  </si>
  <si>
    <t>76.007.823-9</t>
  </si>
  <si>
    <t>77.143.280-8</t>
  </si>
  <si>
    <t>78.840.090-K</t>
  </si>
  <si>
    <t>52.004.390-K</t>
  </si>
  <si>
    <t>77.934.770-2</t>
  </si>
  <si>
    <t>10.270.508-4</t>
  </si>
  <si>
    <t>11.354.049-4</t>
  </si>
  <si>
    <t>10.879.819-K</t>
  </si>
  <si>
    <t>76.090.949-1</t>
  </si>
  <si>
    <t>16.868.500-9</t>
  </si>
  <si>
    <t>10.777.684-2</t>
  </si>
  <si>
    <t>77.594.510-9</t>
  </si>
  <si>
    <t>78.801.490-2</t>
  </si>
  <si>
    <t>83.715.800-1</t>
  </si>
  <si>
    <t>79.827.960-2</t>
  </si>
  <si>
    <t>81.210.300-8</t>
  </si>
  <si>
    <t>76.067.887-2</t>
  </si>
  <si>
    <t>76.195.255-2</t>
  </si>
  <si>
    <t>Razon Social</t>
  </si>
  <si>
    <t>Ciudad</t>
  </si>
  <si>
    <t>Direccion</t>
  </si>
  <si>
    <t>Fono</t>
  </si>
  <si>
    <t>Vendedor</t>
  </si>
  <si>
    <t>WWW</t>
  </si>
  <si>
    <t>Contacto</t>
  </si>
  <si>
    <t>Cargo</t>
  </si>
  <si>
    <t>Credito</t>
  </si>
  <si>
    <t>BLOQUEADO</t>
  </si>
  <si>
    <t>CONDICION DE PAGO</t>
  </si>
  <si>
    <t>NOMBRE DE TIENDA</t>
  </si>
  <si>
    <t xml:space="preserve">                                                                                                    </t>
  </si>
  <si>
    <t xml:space="preserve">SIN INFORMACION COMERCIAL 20/02                                                                     </t>
  </si>
  <si>
    <t>POP DESPACHADO 12/12</t>
  </si>
  <si>
    <t>MIRIAM ALVAREZ COMPR</t>
  </si>
  <si>
    <t>ROBERTO KOBUS PEMSO</t>
  </si>
  <si>
    <t>PUDETO 143-145</t>
  </si>
  <si>
    <t>COOPERCARAB LTDA</t>
  </si>
  <si>
    <t>MAIPU 667</t>
  </si>
  <si>
    <t>tesoreriaantofa@coopercarabc.c</t>
  </si>
  <si>
    <t>AYSEN</t>
  </si>
  <si>
    <t>SANCHEZ</t>
  </si>
  <si>
    <t>GRANDES TIENDAS</t>
  </si>
  <si>
    <t>DIMARSA</t>
  </si>
  <si>
    <t>DICAS LTDA.</t>
  </si>
  <si>
    <t>SAN MARTIN 409</t>
  </si>
  <si>
    <t xml:space="preserve">TRANSPORTE SANCHEZ                                                                                  </t>
  </si>
  <si>
    <t>SAN MARTIN 539</t>
  </si>
  <si>
    <t>CRUZ DEL SUR</t>
  </si>
  <si>
    <t>CARLOS MELLA ALVARADO</t>
  </si>
  <si>
    <t>OHIGGINS 658</t>
  </si>
  <si>
    <t>PROPIO</t>
  </si>
  <si>
    <t>SOC.COMERCIAL BOBERC LTDA.</t>
  </si>
  <si>
    <t>BLANCO 169</t>
  </si>
  <si>
    <t>MARIA VICTORIA FAUNDEZ LOPEZ</t>
  </si>
  <si>
    <t>AV 5 DE ABRIL 640</t>
  </si>
  <si>
    <t xml:space="preserve">TRANSPORTES CHEVALIER , SIN INFORME COMERCIAL 20/02                                                 </t>
  </si>
  <si>
    <t>BARROS ARANA 815 LOCAL 14</t>
  </si>
  <si>
    <t xml:space="preserve">HIJA MARJORIE BENITEZ, TRANSPORTE CHEVALIER 13/11                                                   </t>
  </si>
  <si>
    <t>EVITA LTDA.</t>
  </si>
  <si>
    <t>COLO COLO 469</t>
  </si>
  <si>
    <t xml:space="preserve">CLIENTE CANCELA CON CHEQUE 30 DIAS Y 5% DESCUENTO                                                   </t>
  </si>
  <si>
    <t>BERNANDO O'HIGGINS 80</t>
  </si>
  <si>
    <t>comprasmktconcep@coopercarab.c</t>
  </si>
  <si>
    <t>ESTABLECIMIENTOS COMERCIALES SEIDEMAN</t>
  </si>
  <si>
    <t>J.J.PEREZ Nø254</t>
  </si>
  <si>
    <t xml:space="preserve">TRANSPORTE PROPIO LLAMAR A ELIZABETH A SEIDEMANN PARA RETIRO                                        </t>
  </si>
  <si>
    <t>SOCIEDAD COMERCIAL MKD CLOTHING LIMIT</t>
  </si>
  <si>
    <t>BADAJOZ 100 OFICINA 824</t>
  </si>
  <si>
    <t>2297995 - 02-3423289</t>
  </si>
  <si>
    <t>POP DESPACHADO 11/12</t>
  </si>
  <si>
    <t xml:space="preserve">RETIRAN AVISAR A CARLOS VEGA , SIN INFORMACION COMERCIAL 20/02                                      </t>
  </si>
  <si>
    <t>BELLA FUENTES PINCHEIRA</t>
  </si>
  <si>
    <t>CHACABUCO 435 LOCAL 03</t>
  </si>
  <si>
    <t xml:space="preserve">CANCELA CHEQUE 30 DIAS CON 10% DE DESCUENTO, SU ENCARGADA DE LOCAL ES MINERVA                       </t>
  </si>
  <si>
    <t>COMERCIAL GERMANI S.A</t>
  </si>
  <si>
    <t>INDEPENDENCIA 157</t>
  </si>
  <si>
    <t>HUGO MONTERO FIGUEROA</t>
  </si>
  <si>
    <t>VALDIVIA 487 LOCAL L</t>
  </si>
  <si>
    <t xml:space="preserve">TRANSPORTE CHEVALIER                                                                                </t>
  </si>
  <si>
    <t>SOC.COM.DON JORGE LTDA</t>
  </si>
  <si>
    <t>MARTINEZ DE ROZAS 728</t>
  </si>
  <si>
    <t xml:space="preserve">TRANSPORTE LA FRONTERA , SIN INFORMACION COMERCIAL 20/02                                            </t>
  </si>
  <si>
    <t>ALMACENES ELTIT LTDA</t>
  </si>
  <si>
    <t>OHIGGINS 292</t>
  </si>
  <si>
    <t xml:space="preserve">TRANSPORTE PROPIOP                                                                                  </t>
  </si>
  <si>
    <t>DOLLY S.A.</t>
  </si>
  <si>
    <t>URMENETA #292</t>
  </si>
  <si>
    <t xml:space="preserve">CLIENTE CANCELA CON CHEQUE 30 DIAS 10% DESCUENTOVARMONTT                                            </t>
  </si>
  <si>
    <t>DIMARSA S.A.</t>
  </si>
  <si>
    <t>CHILLAN 117</t>
  </si>
  <si>
    <t>LADRILLEROS 247</t>
  </si>
  <si>
    <t>EMILIA PALMA VILCHES</t>
  </si>
  <si>
    <t>ARTURO PRAT 2365</t>
  </si>
  <si>
    <t>HADWEH HERMANOS LTDA</t>
  </si>
  <si>
    <t>ARTURO PRAT 2499</t>
  </si>
  <si>
    <t xml:space="preserve">TRANSPORTE OLEA                                                                                     </t>
  </si>
  <si>
    <t>COOPPATRIA</t>
  </si>
  <si>
    <t>ZENTENO 190</t>
  </si>
  <si>
    <t>COMERCIAL MULTICENTRO LTDA.</t>
  </si>
  <si>
    <t>AV 07 ORIENTE 1620</t>
  </si>
  <si>
    <t>ESTABLECIMIENTOS GERMANI S.A.</t>
  </si>
  <si>
    <t>1 SUR 1442</t>
  </si>
  <si>
    <t xml:space="preserve">BODEGAL SOLICITAR AUTORIZACION DE ENTREGA A EDITH ROJAS VIA EMAIL                                   </t>
  </si>
  <si>
    <t>CECILIA RIVERA ROMERO</t>
  </si>
  <si>
    <t xml:space="preserve">TUR BUS , SIN INFORMAES COMERCIALES 20/02                                                           </t>
  </si>
  <si>
    <t>COOPERCARAB LTDA.</t>
  </si>
  <si>
    <t>VICUÑA MAKENA 435</t>
  </si>
  <si>
    <t>45-640200  45-642002</t>
  </si>
  <si>
    <t xml:space="preserve">gestiontemuco@coopercarab.cl  </t>
  </si>
  <si>
    <t>DANITZA OSSES AEDO</t>
  </si>
  <si>
    <t>CALLE SANTA  CRUZ Nº 807</t>
  </si>
  <si>
    <t xml:space="preserve">TRANSPORTES JAC , SIN INFORMES COMERCIALES 20/02                                                    </t>
  </si>
  <si>
    <t>SIEGMUND HNOS.LTDA.</t>
  </si>
  <si>
    <t>PISAGUA 1201</t>
  </si>
  <si>
    <t xml:space="preserve">GEMITA                                                                                              </t>
  </si>
  <si>
    <t>GLORIA CONTRERAS TORRES</t>
  </si>
  <si>
    <t>RIO COLONIAL 560</t>
  </si>
  <si>
    <t>NEDY BASCUNAN MANSILLA</t>
  </si>
  <si>
    <t>SOC.COM.INOSTROZA GOMEZ LTDA.</t>
  </si>
  <si>
    <t>PRAT 577</t>
  </si>
  <si>
    <t>COMERCIAL CASA ALICIA S.A.</t>
  </si>
  <si>
    <t>CONDELL 173</t>
  </si>
  <si>
    <t>CARMEN WILLIAMS RIVERA EIRL</t>
  </si>
  <si>
    <t>SARGENTO ALDEA 1160</t>
  </si>
  <si>
    <t>LEYLA DEL CAMPO CASTRO</t>
  </si>
  <si>
    <t>ARTURO PRAT 735</t>
  </si>
  <si>
    <t xml:space="preserve">DUEÑA DE LA TIENDA  </t>
  </si>
  <si>
    <t>ARMANDO BARRIA LEGUE</t>
  </si>
  <si>
    <t xml:space="preserve">PUERTO NATALES </t>
  </si>
  <si>
    <t>MANUEL BULNES 731 LOCAL A</t>
  </si>
  <si>
    <t>SOC.COM.NOCERA Y CIA. LTDA.</t>
  </si>
  <si>
    <t>BORIES 539</t>
  </si>
  <si>
    <t>CONSTANZA CANALES OYARZUN</t>
  </si>
  <si>
    <t>BORIES 932 LOCAL 204</t>
  </si>
  <si>
    <t>EL ARTE DE VESTIR S.A.</t>
  </si>
  <si>
    <t>ERRAZURIZ 644</t>
  </si>
  <si>
    <t>615320-615350-615370</t>
  </si>
  <si>
    <t>SOC.COMERCIAL BUVINIC LTDA.</t>
  </si>
  <si>
    <t>BORIES 766</t>
  </si>
  <si>
    <t>PATRICIA BARRIA</t>
  </si>
  <si>
    <t>PORVENIR</t>
  </si>
  <si>
    <t>PATRICIA CANALES</t>
  </si>
  <si>
    <t>MARIA FRANCISCA IDE SCHMIDT</t>
  </si>
  <si>
    <t>CARLOS SILVA VILDOSOLA 93</t>
  </si>
  <si>
    <t>ANA MARIA SALVATIERRA TAPIA</t>
  </si>
  <si>
    <t>ANA MARIA SALVATIERR</t>
  </si>
  <si>
    <t>DISTRIBUIDORA MULTIHOGAR S.A.</t>
  </si>
  <si>
    <t>PEÑA 800</t>
  </si>
  <si>
    <t>GLADYS VALDIVIA PEREZ EIRL</t>
  </si>
  <si>
    <t>COMERCIALIZADORA FACHAS Y CIA LTDA</t>
  </si>
  <si>
    <t>ORTIZ DE ROZAS 431</t>
  </si>
  <si>
    <t>MARIA TERESA NAVARRO</t>
  </si>
  <si>
    <t>INVERSIONES JULIAN LTDA.</t>
  </si>
  <si>
    <t>PRAT 325</t>
  </si>
  <si>
    <t>MAC-IVER 245</t>
  </si>
  <si>
    <t>analistafinanzas@coopercarab.c</t>
  </si>
  <si>
    <t>COOPERCARAB LTDA.(VALPARAISO)</t>
  </si>
  <si>
    <t>MONJAS 292</t>
  </si>
  <si>
    <t xml:space="preserve">32-2255841 2252033  </t>
  </si>
  <si>
    <t>MARIA DE LOS ANGELES DIAZ BELLIDO</t>
  </si>
  <si>
    <t xml:space="preserve">VILLA ALEMANA  </t>
  </si>
  <si>
    <t>BUENOS AIRE 845</t>
  </si>
  <si>
    <t>BALASUTROSVILLAALEMANA@GMAIL.C</t>
  </si>
  <si>
    <t>MARIA DE LOS ANGELES</t>
  </si>
  <si>
    <t>CONFECCIONES ARAUCO EIRL</t>
  </si>
  <si>
    <t>CONDELL 310</t>
  </si>
  <si>
    <t xml:space="preserve">TRANSPORTE VILLA PRAT , SIN INFORMACION COMERCIAL 20/02                                             </t>
  </si>
  <si>
    <t>MARIA CONCHA CACERES</t>
  </si>
  <si>
    <t>IRMA ROMERO CASTRO</t>
  </si>
  <si>
    <t>ARTURO PRAT 1384</t>
  </si>
  <si>
    <t xml:space="preserve">IRMAFRANCISCAROMERO@GMAIL.COM </t>
  </si>
  <si>
    <t>ELIANA RIQUELME R.</t>
  </si>
  <si>
    <t>MABEL ALEJANDRA MUNOZ MOLINER</t>
  </si>
  <si>
    <t>CAUPOLICAN 341 LOCAL 1</t>
  </si>
  <si>
    <t xml:space="preserve">POP RECHAZADO 12/12 </t>
  </si>
  <si>
    <t>MARIA PILAR JEREZ Y CIA.LTDA.</t>
  </si>
  <si>
    <t>JULIO SEPULVEDA 331</t>
  </si>
  <si>
    <t>ESMERALDA 365</t>
  </si>
  <si>
    <t>ANA SAAVEDRA ORTIZ</t>
  </si>
  <si>
    <t>COVADONGA 240 LOCAL 1</t>
  </si>
  <si>
    <t>THOMPSON 278</t>
  </si>
  <si>
    <t>CARMEN GLORIA GALLARDO VALERIO</t>
  </si>
  <si>
    <t>COMERCIO 400</t>
  </si>
  <si>
    <t>SANTA MARIA 360</t>
  </si>
  <si>
    <t>supermercadoguisellini@hotmail</t>
  </si>
  <si>
    <t>SOC.COM.JORGE ANANIAS</t>
  </si>
  <si>
    <t>VILLAGRAN 580</t>
  </si>
  <si>
    <t>BOUTIQUE ADIQTUS LTDA.</t>
  </si>
  <si>
    <t>RAMIREZ 977 LOCAL 29</t>
  </si>
  <si>
    <t>ANITA BERTA GADICKE</t>
  </si>
  <si>
    <t>OHIGGINS 534</t>
  </si>
  <si>
    <t>FABIOLA BENAVENTE MEZA</t>
  </si>
  <si>
    <t>ANIBAL PINTO 590</t>
  </si>
  <si>
    <t>COOPERCARAB PUERTO MONTT</t>
  </si>
  <si>
    <t>URMENETA 778</t>
  </si>
  <si>
    <t>tesoreriapmontt@coopercarab.cl</t>
  </si>
  <si>
    <t>ROSA EMILIA FUENTES MANCILLA</t>
  </si>
  <si>
    <t>PEDRO AGUIRRE CERDA 183</t>
  </si>
  <si>
    <t>ROSA FUENTES MANCILL</t>
  </si>
  <si>
    <t>RODRIGO SALDIVIA REMOLCOY</t>
  </si>
  <si>
    <t>LADRILLERO 075</t>
  </si>
  <si>
    <t>65/682901  65/683414</t>
  </si>
  <si>
    <t>BALMACEDA 315</t>
  </si>
  <si>
    <t>NOGUEIRA 1137</t>
  </si>
  <si>
    <t xml:space="preserve">41-2651720  9860610 </t>
  </si>
  <si>
    <t>RODRIGO SEÑOR O MONI</t>
  </si>
  <si>
    <t>MANUEL MONTT 1198</t>
  </si>
  <si>
    <t xml:space="preserve">JUAN SEÑOR LEDESMA  </t>
  </si>
  <si>
    <t>ELIANA VENTURELLI REGLA</t>
  </si>
  <si>
    <t>PEDRO MONTT 640</t>
  </si>
  <si>
    <t>elianaventurelliregla@hotmail.</t>
  </si>
  <si>
    <t>PATRICIA MENA SANDOVAL</t>
  </si>
  <si>
    <t>CELIA VASQUEZ BARRERA</t>
  </si>
  <si>
    <t>CAMILO HENRIQUEZ 331-B</t>
  </si>
  <si>
    <t xml:space="preserve">olguitahermosilla@hotmail.com </t>
  </si>
  <si>
    <t>HECTOR CAFFIERO</t>
  </si>
  <si>
    <t>ROMAN JUAN CASTRO CAYO</t>
  </si>
  <si>
    <t>SABINA QUISPE PAIRO</t>
  </si>
  <si>
    <t>18 SEPTIEMBRE 301 LOCAL 4</t>
  </si>
  <si>
    <t>LUIS SOUMASTRE RAMIREZ</t>
  </si>
  <si>
    <t>21 DE MAYO 454</t>
  </si>
  <si>
    <t>VIVAR 916</t>
  </si>
  <si>
    <t>PATRICIA HAFON DESMOND</t>
  </si>
  <si>
    <t>21 DE MAYO 1549</t>
  </si>
  <si>
    <t>FRANKA SALAZAR MUÑOZ</t>
  </si>
  <si>
    <t>GLORIA CECILIA OLIVARES TORRES</t>
  </si>
  <si>
    <t>MERINO JARPA 590</t>
  </si>
  <si>
    <t xml:space="preserve">DANIEL CEA COMPRA Y </t>
  </si>
  <si>
    <t>KETTY ROJAS RAMIREZ</t>
  </si>
  <si>
    <t>VILLA DIEGO PORTALES C/11</t>
  </si>
  <si>
    <t>SOC.MATURANA GALVAN Y CIA.LTDA.</t>
  </si>
  <si>
    <t>ATACAMA 541 L-E</t>
  </si>
  <si>
    <t>ALBASINI E HIJOS LIMITADA</t>
  </si>
  <si>
    <t>O'HIGGINS Nø402-420</t>
  </si>
  <si>
    <t>INES VARGAS PINO</t>
  </si>
  <si>
    <t>ATACAMA 461-A</t>
  </si>
  <si>
    <t>ANA MARIA CORTES</t>
  </si>
  <si>
    <t>PEDRO AGUIRRE CERDA 316</t>
  </si>
  <si>
    <t>SOC.FLORES ALMANDOZ NAIR Y CIA LTDA</t>
  </si>
  <si>
    <t>ARTURO PRAT Nø1370</t>
  </si>
  <si>
    <t>LUIGI ZANDONAI</t>
  </si>
  <si>
    <t>BALMACEDA 423</t>
  </si>
  <si>
    <t>COMERCIAL LOS CARRERA LTDA</t>
  </si>
  <si>
    <t>ALDUNATE 1138</t>
  </si>
  <si>
    <t>ANA MARIA MANFREDI CARRASCO</t>
  </si>
  <si>
    <t>VICUÑA MACKENNA 287</t>
  </si>
  <si>
    <t xml:space="preserve">DANIELA O ANA MARIA </t>
  </si>
  <si>
    <t xml:space="preserve">PORVENIR       </t>
  </si>
  <si>
    <t>JAVER HNOS Y CIA LTDA</t>
  </si>
  <si>
    <t>SAN ANTONIO</t>
  </si>
  <si>
    <t>CENTENARIO 105</t>
  </si>
  <si>
    <t>SOC COM SAN MARTIN Y TORRES LTDA</t>
  </si>
  <si>
    <t>SERRANO 544 LOCAL 1-2</t>
  </si>
  <si>
    <t>ANGOL</t>
  </si>
  <si>
    <t>TEMUCO</t>
  </si>
  <si>
    <t>SANTIAGO</t>
  </si>
  <si>
    <t>COMERCIAL NACE SPA</t>
  </si>
  <si>
    <t>PATRICIO CUEVAS</t>
  </si>
  <si>
    <t>MAWI</t>
  </si>
  <si>
    <t>CASTRO</t>
  </si>
  <si>
    <t>LOS ANGELES</t>
  </si>
  <si>
    <t>ALEJANDRO GHISELINI</t>
  </si>
  <si>
    <t>Transporte</t>
  </si>
  <si>
    <t>Observaciones</t>
  </si>
  <si>
    <t>DICOM 4.553.091 27/03/13   PAGARE PROTESTADO POR $ 35.753.077 13/05/2013</t>
  </si>
  <si>
    <t>BUSES JC</t>
  </si>
  <si>
    <t>LUMACO</t>
  </si>
  <si>
    <t>FUTRONO</t>
  </si>
  <si>
    <t>ELIANA RIQUELME</t>
  </si>
  <si>
    <t>TUR BUS</t>
  </si>
  <si>
    <t>VENTAS</t>
  </si>
  <si>
    <t>COSAS BOUTIQUE</t>
  </si>
  <si>
    <t>VILLA PRAT</t>
  </si>
  <si>
    <t>BOUTIQUE</t>
  </si>
  <si>
    <t>ELEGANTE BOUTIQUE</t>
  </si>
  <si>
    <t>PARRAL</t>
  </si>
  <si>
    <t>CIDHER</t>
  </si>
  <si>
    <t>ALBANY SPORT</t>
  </si>
  <si>
    <t>OSORNO</t>
  </si>
  <si>
    <t>FABIOLA BENAVENTE</t>
  </si>
  <si>
    <t>CHEVALIER</t>
  </si>
  <si>
    <t>CURANILAHUE</t>
  </si>
  <si>
    <t>TIENDA</t>
  </si>
  <si>
    <t>SIN INFORMACION COMERCIAL 20/02</t>
  </si>
  <si>
    <t>RODRIGO EDUARDO SEÑOR LEDESMA</t>
  </si>
  <si>
    <t>VILLA PEAT</t>
  </si>
  <si>
    <t>VTAS DE PRENDAS DE VESTIR</t>
  </si>
  <si>
    <t>COMERCIAL LOGROÑO</t>
  </si>
  <si>
    <t>TOME</t>
  </si>
  <si>
    <t>RICARDO MUÑOZ</t>
  </si>
  <si>
    <t>PIBAS</t>
  </si>
  <si>
    <t>LA UNION</t>
  </si>
  <si>
    <t>TRANSF. CONTRA ENTREGA</t>
  </si>
  <si>
    <t>TIENDA Y PAQUETERIA ROCIO</t>
  </si>
  <si>
    <t>QUEILEN</t>
  </si>
  <si>
    <t>DUEÑA</t>
  </si>
  <si>
    <t>QUELLON</t>
  </si>
  <si>
    <t>ELIANA VENTURELLI</t>
  </si>
  <si>
    <t>30 DÍAS</t>
  </si>
  <si>
    <t>TRAIGUEN</t>
  </si>
  <si>
    <t>PEDRO DE VALDIVIA 650 LOCAL 25</t>
  </si>
  <si>
    <t>NO CUMPLE PERFIL PARA MOHICANO</t>
  </si>
  <si>
    <t>AV SAAVEDRA 460</t>
  </si>
  <si>
    <t>PATRICIA MENA</t>
  </si>
  <si>
    <t>PATY MENA BOUTIQUE</t>
  </si>
  <si>
    <t>BOUTIQUE PAULA</t>
  </si>
  <si>
    <t>VILLARICA</t>
  </si>
  <si>
    <t>VICTORIA</t>
  </si>
  <si>
    <t>TIENDA Y PAQUETERIA</t>
  </si>
  <si>
    <t>CASA BROWN</t>
  </si>
  <si>
    <t>SAN CARLOS</t>
  </si>
  <si>
    <t>PRENDAS DE VESTIR</t>
  </si>
  <si>
    <t>MULTITIENDAS TEMER</t>
  </si>
  <si>
    <t>ARAUCO</t>
  </si>
  <si>
    <t>GEMITA</t>
  </si>
  <si>
    <t>OLGA BOUTIQUE</t>
  </si>
  <si>
    <t>MULCHEN</t>
  </si>
  <si>
    <t>CASA REAL</t>
  </si>
  <si>
    <t>SEÑOR LEDESMA HNOS. LTDA.</t>
  </si>
  <si>
    <t>ART DEPORTIVO</t>
  </si>
  <si>
    <t>COMERCIAL SEVILLA</t>
  </si>
  <si>
    <t>BOUTIQUE ADIQTUS</t>
  </si>
  <si>
    <t>COOPERCARAB TIENDAS</t>
  </si>
  <si>
    <t>PUERTO MONTT</t>
  </si>
  <si>
    <t>VIRGINIA DIAZ E HIJOS LTDA.</t>
  </si>
  <si>
    <t>76.368.393-1</t>
  </si>
  <si>
    <t>LAUTARO 362 2PISO</t>
  </si>
  <si>
    <t>SULU</t>
  </si>
  <si>
    <t>Correo</t>
  </si>
  <si>
    <t xml:space="preserve"> </t>
  </si>
  <si>
    <t>ARICA</t>
  </si>
  <si>
    <t>LINARES</t>
  </si>
  <si>
    <t>TALCA</t>
  </si>
  <si>
    <t>PUERTO VARAS</t>
  </si>
  <si>
    <t>CURICO</t>
  </si>
  <si>
    <t>TUR BUS OFICINA</t>
  </si>
  <si>
    <t>PAQUETERIA</t>
  </si>
  <si>
    <t>RANCAGUA</t>
  </si>
  <si>
    <t>COCHRANNE</t>
  </si>
  <si>
    <t>gcontrerastorres@hotmail.cl</t>
  </si>
  <si>
    <t>GLORIA CONTRERAS</t>
  </si>
  <si>
    <t>ATE</t>
  </si>
  <si>
    <t>VENTAS PRENDAS DE VESTIR</t>
  </si>
  <si>
    <t>COCHRANE</t>
  </si>
  <si>
    <t>DICOM OK AL 27/2</t>
  </si>
  <si>
    <t>ERRAZURIZ 261-A</t>
  </si>
  <si>
    <t>TRANSMAX</t>
  </si>
  <si>
    <t>BOUTIQUE FRANCHESCA</t>
  </si>
  <si>
    <t>COYHAIQUE</t>
  </si>
  <si>
    <t>FIORDOS</t>
  </si>
  <si>
    <t>CASA ALICIA</t>
  </si>
  <si>
    <t>COUHAIQUE</t>
  </si>
  <si>
    <t>PUERTO AYSEN</t>
  </si>
  <si>
    <t>OLEY BOUTIQUE</t>
  </si>
  <si>
    <t>TRANSCARGO</t>
  </si>
  <si>
    <t>CONOSUR</t>
  </si>
  <si>
    <t>ESPACIO JEANS</t>
  </si>
  <si>
    <t>PUERTO NATALES</t>
  </si>
  <si>
    <t>TIENDAS JORGE CABETT</t>
  </si>
  <si>
    <t>PUNTA ARENAS</t>
  </si>
  <si>
    <t>GRANDES TIENDAS, CALZADO, IMP</t>
  </si>
  <si>
    <t>EL ARTE DE VESTIR</t>
  </si>
  <si>
    <t>NOCERA</t>
  </si>
  <si>
    <t>LA REINA</t>
  </si>
  <si>
    <t>BOUTIQUE FRANCISCA IDE</t>
  </si>
  <si>
    <t>BOUTIQUE ANITA</t>
  </si>
  <si>
    <t>CABILDO</t>
  </si>
  <si>
    <t>RICHARD CUEVAS</t>
  </si>
  <si>
    <t>STORAGE</t>
  </si>
  <si>
    <t>MULTIHOGAR</t>
  </si>
  <si>
    <t>BOUTIQUE DIVAZ</t>
  </si>
  <si>
    <t>LA LIGUA</t>
  </si>
  <si>
    <t>BOUTIQUE AVENUE</t>
  </si>
  <si>
    <t>VESTUARIO Y ART DE HOGAR</t>
  </si>
  <si>
    <t>RENGO</t>
  </si>
  <si>
    <t>ANDIMAR</t>
  </si>
  <si>
    <t>SANTA CRUZ</t>
  </si>
  <si>
    <t>VALPARAISO</t>
  </si>
  <si>
    <t>ABC</t>
  </si>
  <si>
    <t>BALAUSTROS BOUTIQUE</t>
  </si>
  <si>
    <t>VILLA ALEMANA</t>
  </si>
  <si>
    <t>ANCUD</t>
  </si>
  <si>
    <t>VARMONTT</t>
  </si>
  <si>
    <t>MACHOS</t>
  </si>
  <si>
    <t xml:space="preserve"> VARMONTT                                                                                 </t>
  </si>
  <si>
    <t>COOPERCARAB</t>
  </si>
  <si>
    <t>ANTOFAGASTA</t>
  </si>
  <si>
    <t>CONFECCIONES Y COMERZIALISACION</t>
  </si>
  <si>
    <t xml:space="preserve">C Y CECILIA </t>
  </si>
  <si>
    <t>svargas@dimarsa.cl</t>
  </si>
  <si>
    <t>SANDRA VARGAS</t>
  </si>
  <si>
    <t>MODA FIEL</t>
  </si>
  <si>
    <t>victoriaf99@live.cl</t>
  </si>
  <si>
    <t>MARIA VICTORIA FAUNDEZ</t>
  </si>
  <si>
    <t>FAMA</t>
  </si>
  <si>
    <t>CHILLAN</t>
  </si>
  <si>
    <t>VENTA DE PRENDAS DE VESTIR</t>
  </si>
  <si>
    <t>BONITA BOUTIQUE</t>
  </si>
  <si>
    <t>OPALO BOUTIQUE</t>
  </si>
  <si>
    <t>CONCEPCION</t>
  </si>
  <si>
    <t>ARRIERO LIT CARGO</t>
  </si>
  <si>
    <t>EVITA</t>
  </si>
  <si>
    <t>VIAL 380 A</t>
  </si>
  <si>
    <t>EMECOL</t>
  </si>
  <si>
    <t>TRIBAL</t>
  </si>
  <si>
    <t>CONSTITUCION</t>
  </si>
  <si>
    <t>irmafranciscaromero@gmail.com</t>
  </si>
  <si>
    <t>FRANCISCA ROMERO BOUTIQUE</t>
  </si>
  <si>
    <t>PROPIO RETIRAN</t>
  </si>
  <si>
    <t>SEIDEMANN</t>
  </si>
  <si>
    <t>LA CALERA</t>
  </si>
  <si>
    <t>76.078.517-2</t>
  </si>
  <si>
    <t>DON CRISTOBAL LTDA.</t>
  </si>
  <si>
    <t>ANGAMOS 520</t>
  </si>
  <si>
    <t>064-2426901</t>
  </si>
  <si>
    <t>valentinaboutique01@gmail.com</t>
  </si>
  <si>
    <t>DORIS SALGADO</t>
  </si>
  <si>
    <t>ECOEXX</t>
  </si>
  <si>
    <t>VALENTINA BOUTIQUE</t>
  </si>
  <si>
    <t>RETIRA</t>
  </si>
  <si>
    <t>COMPRA VENTA PRENDAS DE VESTIR</t>
  </si>
  <si>
    <t>MKD LONDON CLOTHIN</t>
  </si>
  <si>
    <t xml:space="preserve">LAS CONDES </t>
  </si>
  <si>
    <t>BOUTIQUE BAZAR Y PAQUETERIA</t>
  </si>
  <si>
    <t>LOGISTEX</t>
  </si>
  <si>
    <t>GERMANI</t>
  </si>
  <si>
    <t>30 DIAS</t>
  </si>
  <si>
    <t>TIENDAS</t>
  </si>
  <si>
    <t>HECHIZOS</t>
  </si>
  <si>
    <t>15.627.315-5</t>
  </si>
  <si>
    <t>MAURICIO DONOSO MANTOYA</t>
  </si>
  <si>
    <t>CHOCRANE 651 LOCAL 109</t>
  </si>
  <si>
    <t>mauriciodonosomontoya@hotmail.com</t>
  </si>
  <si>
    <t>MAURICIO DONOSO</t>
  </si>
  <si>
    <t>BOUTIQUE HERRADURA</t>
  </si>
  <si>
    <t>TALADRIZ CARGO</t>
  </si>
  <si>
    <t xml:space="preserve">30 DIAS </t>
  </si>
  <si>
    <t>COMERCIALIZADORA DE VESTUARIO</t>
  </si>
  <si>
    <t xml:space="preserve">DON JORGE </t>
  </si>
  <si>
    <t>PANGUIPULLI</t>
  </si>
  <si>
    <t xml:space="preserve">PROPIO </t>
  </si>
  <si>
    <t>ELTIT</t>
  </si>
  <si>
    <t>PUCON</t>
  </si>
  <si>
    <t>proveedores.adulto@dolly.cl</t>
  </si>
  <si>
    <t>ZUCETTE</t>
  </si>
  <si>
    <t>DOLLY</t>
  </si>
  <si>
    <t>SALVADOR 117</t>
  </si>
  <si>
    <t>065-2292650</t>
  </si>
  <si>
    <t>JEFA DE COMPRAS</t>
  </si>
  <si>
    <t>mily.palma@gmail.com</t>
  </si>
  <si>
    <t>MILY PALMA</t>
  </si>
  <si>
    <t>MILY</t>
  </si>
  <si>
    <t>SAN JAVIER</t>
  </si>
  <si>
    <t>el_pobrediablo@hotmail.com</t>
  </si>
  <si>
    <t>OLEA</t>
  </si>
  <si>
    <t>EL POBRE DIABLO</t>
  </si>
  <si>
    <t>FERNANDO GONZALEZ</t>
  </si>
  <si>
    <t xml:space="preserve">AV. TORREMOLINO 410 LOCAL 132 </t>
  </si>
  <si>
    <t>RIVERA JEANS</t>
  </si>
  <si>
    <t>paulafsiegmunds@gmail.com</t>
  </si>
  <si>
    <t>PAULA SIEGMUND</t>
  </si>
  <si>
    <t>CASA SIEGMUND</t>
  </si>
  <si>
    <t>VALLENAR</t>
  </si>
  <si>
    <t>AV LLANQUIHUE 4216 D13</t>
  </si>
  <si>
    <t>055-547656</t>
  </si>
  <si>
    <t>9-1595286</t>
  </si>
  <si>
    <t>BOUTIQUE FRANKAS</t>
  </si>
  <si>
    <t>BLOQUEO PEDIDO X CLIENTE NO DESPACHAR FALTA FONDOS</t>
  </si>
  <si>
    <t xml:space="preserve">VENTAS AL POR MENOR </t>
  </si>
  <si>
    <t>AVENIDA 18 DE SEPTIEMBRE 301 L</t>
  </si>
  <si>
    <t>CALZADOS Y ROPAS DE VESTIR</t>
  </si>
  <si>
    <t>SABY SPORT</t>
  </si>
  <si>
    <t>RAMOS CHOLELE</t>
  </si>
  <si>
    <t>CHAÑARAL</t>
  </si>
  <si>
    <t>EVEN EZER</t>
  </si>
  <si>
    <t>ENVIAS EXPRESS</t>
  </si>
  <si>
    <t>TIENDA DE VESTIR</t>
  </si>
  <si>
    <t>BOUTIQUE GEMINIS</t>
  </si>
  <si>
    <t>COPIAPO</t>
  </si>
  <si>
    <t>BOUTIQUE PILCHAS</t>
  </si>
  <si>
    <t>ALBASINI SPORT</t>
  </si>
  <si>
    <t xml:space="preserve">CHILE LINDO </t>
  </si>
  <si>
    <t xml:space="preserve">BOUTIQUE </t>
  </si>
  <si>
    <t>BOUTIQUE TEENS</t>
  </si>
  <si>
    <t>TIENDA BAZAR Y PAQUETERIA</t>
  </si>
  <si>
    <t>ANA MARIA BOUTIQUE</t>
  </si>
  <si>
    <t>PIERO</t>
  </si>
  <si>
    <t>TIENDA LUIGI ZANDONAI</t>
  </si>
  <si>
    <t>BOUTIQUE PARA TI</t>
  </si>
  <si>
    <t>LOS CONQUISTADORES</t>
  </si>
  <si>
    <t>MULTITIENDAS FANYC</t>
  </si>
  <si>
    <t>VENTA PRENDAS DE VESTIR</t>
  </si>
  <si>
    <t>BEZANILLA</t>
  </si>
  <si>
    <t>VILLARRICA</t>
  </si>
  <si>
    <t>COM RAIMUNDO</t>
  </si>
  <si>
    <t>JAVER</t>
  </si>
  <si>
    <t>16.065.905-K</t>
  </si>
  <si>
    <t>78.416.190-0</t>
  </si>
  <si>
    <t>MULTITIENDA</t>
  </si>
  <si>
    <t>JOHN WILLIAMS 034</t>
  </si>
  <si>
    <t>TIENDA BAZAR</t>
  </si>
  <si>
    <t>BINGO JEANS</t>
  </si>
  <si>
    <t>BORIES 932 LOCAL 201</t>
  </si>
  <si>
    <t>09-94044305</t>
  </si>
  <si>
    <t>TIENDA JORGE CABBET</t>
  </si>
  <si>
    <t>9.623.442-2</t>
  </si>
  <si>
    <t>MIRNA PACHECO</t>
  </si>
  <si>
    <t>CABRERO</t>
  </si>
  <si>
    <t>77.326.810-K</t>
  </si>
  <si>
    <t>GONART MODA LTDA.</t>
  </si>
  <si>
    <t>BENAVENTE 75</t>
  </si>
  <si>
    <t>053/2625600</t>
  </si>
  <si>
    <t>gonartmodas@gmail.com</t>
  </si>
  <si>
    <t>MULTITIENDA VESTUARIO</t>
  </si>
  <si>
    <t>GONART</t>
  </si>
  <si>
    <t>OVALLE</t>
  </si>
  <si>
    <t>065-2637291</t>
  </si>
  <si>
    <t>tiendamodafiel@gmail.com</t>
  </si>
  <si>
    <t>SEÑORA SOFIA</t>
  </si>
  <si>
    <t>76.259.929-5</t>
  </si>
  <si>
    <t>PATRICIA BARRIA MANCILLA</t>
  </si>
  <si>
    <t>ROMY'S</t>
  </si>
  <si>
    <t>9-6459506</t>
  </si>
  <si>
    <t>befupi@gmail.com</t>
  </si>
  <si>
    <t xml:space="preserve">           D JAVI</t>
  </si>
  <si>
    <t>061-2580171</t>
  </si>
  <si>
    <t>patricia.barria@gmail.com</t>
  </si>
  <si>
    <t>792-$16.126.370</t>
  </si>
  <si>
    <t>30 dias</t>
  </si>
  <si>
    <t>PRODIGOS</t>
  </si>
  <si>
    <t>ANA MARIA SANCHEZ LUENGO</t>
  </si>
  <si>
    <t>PUREN</t>
  </si>
  <si>
    <t>IMPERIAL N° 667</t>
  </si>
  <si>
    <t>9.411.156-4</t>
  </si>
  <si>
    <t>anamaria.sanchezluengo@gmail.com</t>
  </si>
  <si>
    <t>PAQUETERIA KEY-RON</t>
  </si>
  <si>
    <t>VIOLETA LILIANA MEZA FLORES E.I.R.L.</t>
  </si>
  <si>
    <t>CAP. PASTENE</t>
  </si>
  <si>
    <t>TALCAHUANO</t>
  </si>
  <si>
    <t>CALBUCO</t>
  </si>
  <si>
    <t>7.295.293-6</t>
  </si>
  <si>
    <t>41-2-611782</t>
  </si>
  <si>
    <t xml:space="preserve">TRANSPORTE CHEVALIER , SIN INFORMES COMERCIALES 20/02                                               </t>
  </si>
  <si>
    <t>tiendajavbian@gmail.com</t>
  </si>
  <si>
    <t>COLON Nø484</t>
  </si>
  <si>
    <t>96.866.770-K</t>
  </si>
  <si>
    <t>MANUEL RODRIGUEZ 3065</t>
  </si>
  <si>
    <t>12.838.491-K</t>
  </si>
  <si>
    <t>RAFAEL CASANOVA 132 A</t>
  </si>
  <si>
    <t>Pitillo</t>
  </si>
  <si>
    <t xml:space="preserve">CLAUDIO TORRES VIERAS </t>
  </si>
  <si>
    <t>14.905.682-3</t>
  </si>
  <si>
    <t>DIEGO PORTALES N°1110</t>
  </si>
  <si>
    <t>MARGARITA</t>
  </si>
  <si>
    <t>PAQUETERIA Y PERFUMERIA</t>
  </si>
  <si>
    <t>EL RINCONCITO DE LA MODA</t>
  </si>
  <si>
    <t>LOS ALAMOS</t>
  </si>
  <si>
    <t>76.662.352-2</t>
  </si>
  <si>
    <t>Casaca</t>
  </si>
  <si>
    <t>DIVAS</t>
  </si>
  <si>
    <t>9.811.708-3</t>
  </si>
  <si>
    <t>DESCUENTO</t>
  </si>
  <si>
    <t>SERGIO KRAMARENCO</t>
  </si>
  <si>
    <t>52-213939</t>
  </si>
  <si>
    <t>BIO-BIO</t>
  </si>
  <si>
    <t>COMERCIAL CARMEN TEMER EIRL</t>
  </si>
  <si>
    <t>COMERCIAL Q &amp; M LTDA.</t>
  </si>
  <si>
    <t>9.997.811-2</t>
  </si>
  <si>
    <t>11.419.592-8</t>
  </si>
  <si>
    <t>76.511.829-8</t>
  </si>
  <si>
    <t>76.454.354-8</t>
  </si>
  <si>
    <t>ARTICULOS ELECTRONICOS NATALIA SAEZ MENDEZ E.I.R.L</t>
  </si>
  <si>
    <t>15.814.934-6</t>
  </si>
  <si>
    <t>83.382.700-6</t>
  </si>
  <si>
    <t>COMERCIAL REGINA LTDA</t>
  </si>
  <si>
    <t>77.570.460-8</t>
  </si>
  <si>
    <t>76.821.717-3</t>
  </si>
  <si>
    <t>76.658.950-2</t>
  </si>
  <si>
    <t>MELIPILLA</t>
  </si>
  <si>
    <t>LUIS CARRASCO PERALTA</t>
  </si>
  <si>
    <t>SAN FERNANDO</t>
  </si>
  <si>
    <t>3.877.646-0</t>
  </si>
  <si>
    <t xml:space="preserve">NOELIA BOUTIQUE </t>
  </si>
  <si>
    <t>76.687.183-6</t>
  </si>
  <si>
    <t>7.509.921-5</t>
  </si>
  <si>
    <t>CAUQUENES</t>
  </si>
  <si>
    <t>10.529.776-9</t>
  </si>
  <si>
    <t>12.495.320-0</t>
  </si>
  <si>
    <t>RODRIGO BARRENA ARAVENA</t>
  </si>
  <si>
    <t>76.865.111-6</t>
  </si>
  <si>
    <t>Cantidad</t>
  </si>
  <si>
    <t>Despacho</t>
  </si>
  <si>
    <t>Saldo</t>
  </si>
  <si>
    <t>NOELIA BOUTIQUE</t>
  </si>
  <si>
    <t>NOELIA GARRIDO</t>
  </si>
  <si>
    <t>OPALO VESTUARIO</t>
  </si>
  <si>
    <t>76.965.431-3</t>
  </si>
  <si>
    <t>TIENDAS  YULY</t>
  </si>
  <si>
    <t>76.651.848-6</t>
  </si>
  <si>
    <t>FORCAEL INOSTROZA LTDA.</t>
  </si>
  <si>
    <t>francisco.inostroza70@gmail.com</t>
  </si>
  <si>
    <t>FRANCISCO INOSTROZA</t>
  </si>
  <si>
    <t>ANGELES JEANS</t>
  </si>
  <si>
    <t xml:space="preserve">LOS ANGELES </t>
  </si>
  <si>
    <t>VALDIVIA  485  LOCAL  32</t>
  </si>
  <si>
    <t>Tobillero</t>
  </si>
  <si>
    <t>Medio</t>
  </si>
  <si>
    <t>Cintura</t>
  </si>
  <si>
    <t xml:space="preserve">Cintura </t>
  </si>
  <si>
    <t>Recto</t>
  </si>
  <si>
    <t>Oxford</t>
  </si>
  <si>
    <t>Flare</t>
  </si>
  <si>
    <t>77.101.721-5</t>
  </si>
  <si>
    <t>COMERCIALIZADORA GRAN AVENTURA SPA</t>
  </si>
  <si>
    <t>jaguila@elartedevestir.cl</t>
  </si>
  <si>
    <t>GRUPO</t>
  </si>
  <si>
    <t>nedybascunan@gmail.com</t>
  </si>
  <si>
    <t xml:space="preserve">CONTADO   </t>
  </si>
  <si>
    <t>9-96407930</t>
  </si>
  <si>
    <t>CONTADO</t>
  </si>
  <si>
    <t>ALEBUVINIC@GLOBALCOM.CL</t>
  </si>
  <si>
    <t>bingojeanspuq@hotmail.com</t>
  </si>
  <si>
    <t>jorgecabett@hotmail.com</t>
  </si>
  <si>
    <t>NARIA OYARZUN LEIVA</t>
  </si>
  <si>
    <t>09-94044305 / 61-710598</t>
  </si>
  <si>
    <t>7-8259842</t>
  </si>
  <si>
    <t>9-0507606</t>
  </si>
  <si>
    <t>TRANSPORT ATE</t>
  </si>
  <si>
    <t xml:space="preserve">ERNESTO GARCIA LERIN  </t>
  </si>
  <si>
    <t>SARGENTO ALDEA 575</t>
  </si>
  <si>
    <t>67-332681</t>
  </si>
  <si>
    <t>casadepiedratienda@hotmail.com</t>
  </si>
  <si>
    <t>MONICA O ERNESTO HIJ</t>
  </si>
  <si>
    <t>GNOCERA@NOCERA.CL</t>
  </si>
  <si>
    <t>SILVIA DIAZ HARO</t>
  </si>
  <si>
    <t>13.411.102-K</t>
  </si>
  <si>
    <t>TENIENTE MERINO 499 LOCAL C</t>
  </si>
  <si>
    <t>8-1516114</t>
  </si>
  <si>
    <t>tienda-angel@hotmail.com</t>
  </si>
  <si>
    <t>CONCHARANE</t>
  </si>
  <si>
    <t>JUAN ALONQUEO MAZA</t>
  </si>
  <si>
    <t>5.178.314-K</t>
  </si>
  <si>
    <t>JOSE MIGUEL CARRERA 316</t>
  </si>
  <si>
    <t>CHILE CHICO</t>
  </si>
  <si>
    <t>roblehuacho09@gmail.com</t>
  </si>
  <si>
    <t>Sr. Juan Alonqueo</t>
  </si>
  <si>
    <t>CASA YALE</t>
  </si>
  <si>
    <t>MONICA OYARSUN</t>
  </si>
  <si>
    <t>8.191. 509-1</t>
  </si>
  <si>
    <t>oyarzunborquezmonica@hotmail.Com</t>
  </si>
  <si>
    <t>CHONCHI</t>
  </si>
  <si>
    <t>CENTENARIO 145</t>
  </si>
  <si>
    <t>CLIENTE NO TIENE CAPACIDAD PARA SER MAYORISTA</t>
  </si>
  <si>
    <t>CHACON</t>
  </si>
  <si>
    <t>CARLOS CUEVAS</t>
  </si>
  <si>
    <t>constanzacontreras1310@gmail.com</t>
  </si>
  <si>
    <t>Pullman Cargo</t>
  </si>
  <si>
    <t xml:space="preserve">JETZABEL AGUIRRE ALVAREZ  </t>
  </si>
  <si>
    <t>CALAMA</t>
  </si>
  <si>
    <t>16.260.374-4</t>
  </si>
  <si>
    <t>AV HAYTIQUINA 972 VILLA KAMAS</t>
  </si>
  <si>
    <t>TURBUS</t>
  </si>
  <si>
    <t xml:space="preserve">g.oltorres91@gmail.com </t>
  </si>
  <si>
    <t>14 DE JULIO 474</t>
  </si>
  <si>
    <t>CAROLINA.CJGC@GMAIL.COM</t>
  </si>
  <si>
    <t>CAMILA BOUTIQUE SPA</t>
  </si>
  <si>
    <t>CARTER Y GALLO 708 ST 22</t>
  </si>
  <si>
    <t>LA SERENA</t>
  </si>
  <si>
    <t>77.226.836-K</t>
  </si>
  <si>
    <t>CAMILA_ANDRETORREJON@HOTMAIL.COM</t>
  </si>
  <si>
    <t>CHILE LINDO</t>
  </si>
  <si>
    <t>KATERIN FRANCHESCA CASANGA SANTANA</t>
  </si>
  <si>
    <t>16.259.311-0</t>
  </si>
  <si>
    <t>RAMIREZ 2120 A</t>
  </si>
  <si>
    <t>boutiquelascala@gmail.com</t>
  </si>
  <si>
    <t>NORA BARRAZA MILLA</t>
  </si>
  <si>
    <t>6.092.183-0</t>
  </si>
  <si>
    <t>DIEGO DE ALMAGRO</t>
  </si>
  <si>
    <t>JUAN MARTINEZ 912</t>
  </si>
  <si>
    <t>VERONICA NARANJO</t>
  </si>
  <si>
    <t>VENTAS DE PRENDAS DE VESTIR SALLY LTDA</t>
  </si>
  <si>
    <t>PRATT 560</t>
  </si>
  <si>
    <t>sallymodasmujer@hotmail.com</t>
  </si>
  <si>
    <t>76.560.242-4</t>
  </si>
  <si>
    <t>VICUNA MACKENNA102 GALE VALLE</t>
  </si>
  <si>
    <t>ceciliarojojimenez@hotmail.com</t>
  </si>
  <si>
    <t>SER VALL</t>
  </si>
  <si>
    <t>8-8637797</t>
  </si>
  <si>
    <t>JUAN ALVARADO PEREIRA</t>
  </si>
  <si>
    <t>3.297.785-5</t>
  </si>
  <si>
    <t>BRASIL 681</t>
  </si>
  <si>
    <t>51-610755</t>
  </si>
  <si>
    <t>EXPRESS</t>
  </si>
  <si>
    <t>DAFNE VILLALOBOS</t>
  </si>
  <si>
    <t>16.549.586-1</t>
  </si>
  <si>
    <t>SITIO 20 LIMARI</t>
  </si>
  <si>
    <t>DAFNEVILLALOBOS009@HOTMAIL.COM</t>
  </si>
  <si>
    <t>CARLA ALIAGA</t>
  </si>
  <si>
    <t>13.744.036-9</t>
  </si>
  <si>
    <t>PRAT 1389</t>
  </si>
  <si>
    <t>ca_aliaga@hotmail.com</t>
  </si>
  <si>
    <t>angelafontana.1990@gmail.com</t>
  </si>
  <si>
    <t>ANGELA FONTANA BUGUEÑO</t>
  </si>
  <si>
    <t>JUANA ELIZABETH ARAYA CAMPUSANO</t>
  </si>
  <si>
    <t>juana.arayacampusano@gmail.com</t>
  </si>
  <si>
    <t>CARLOS CRUZAT 2952</t>
  </si>
  <si>
    <t>17.625.296-0</t>
  </si>
  <si>
    <t>PASAJE LOS DOMINICOS 68</t>
  </si>
  <si>
    <t>VTAS.DE PRENDAS DE VESTIR MARCY DUARTE Z E.I.R.L.</t>
  </si>
  <si>
    <t>marcy.duarte@hotmail.com</t>
  </si>
  <si>
    <t>ARTURO PRAT 874 LOCAL 5</t>
  </si>
  <si>
    <t>77.206.618-K</t>
  </si>
  <si>
    <t>77.209.039-0</t>
  </si>
  <si>
    <t>CALLE 18 DE SEPTIEMBRE 998</t>
  </si>
  <si>
    <t>TIENDADUSANCHILE@GMAIL.COM</t>
  </si>
  <si>
    <t>DUSAN SPA</t>
  </si>
  <si>
    <t>COMERCIAL JOHANNA  BOUTIQUE LIMITADA</t>
  </si>
  <si>
    <t>77.141.865-1</t>
  </si>
  <si>
    <t>ANIBAL PINTO 715 LOCAL 116</t>
  </si>
  <si>
    <t>JOHANNALEIVA325@GMAIL.COM</t>
  </si>
  <si>
    <t>TVP</t>
  </si>
  <si>
    <t>NATALIA SAENZ</t>
  </si>
  <si>
    <t>GERMANILINARES@GERMANI.CL</t>
  </si>
  <si>
    <t>CONTADO - 30DIAS</t>
  </si>
  <si>
    <t>CONTADO -30DIAS</t>
  </si>
  <si>
    <t>EMORAGA@GERMANI.CL</t>
  </si>
  <si>
    <t>fernanda.roman@san-antonio.cl</t>
  </si>
  <si>
    <t>45 dias</t>
  </si>
  <si>
    <t>JOKADAL</t>
  </si>
  <si>
    <t>DIEGO PORTALES 854 LOCAL 12</t>
  </si>
  <si>
    <t>EPI.MARCO@GMAIL.COM</t>
  </si>
  <si>
    <t>RIO CLARO N°249</t>
  </si>
  <si>
    <t>MARGAGONZALEZFLO@GMAIL.COM</t>
  </si>
  <si>
    <t>MIRNA_PACHRAB@HOTMAIL.COM</t>
  </si>
  <si>
    <t>PILAR_ANANIAS@HOTMAIL.COM</t>
  </si>
  <si>
    <t>ANGELES JEANS CONCEPCION SPA</t>
  </si>
  <si>
    <t>77.247.714-7</t>
  </si>
  <si>
    <t>FREIRE 740 LOCAL 35</t>
  </si>
  <si>
    <t>FORCAELCAMILA@GMAIL.COM</t>
  </si>
  <si>
    <t>COMERCIAL LE PETIT BOUTIQUE</t>
  </si>
  <si>
    <t>76.405.849-6</t>
  </si>
  <si>
    <t>ARTURO PEREZ CANTO N° 519</t>
  </si>
  <si>
    <t>LE PETIT</t>
  </si>
  <si>
    <t>MAGONZAL@GMAIL.COM</t>
  </si>
  <si>
    <t>CONTRAFACTURA</t>
  </si>
  <si>
    <t>SABA Y MILADE LTDA</t>
  </si>
  <si>
    <t>CAUPOLICAN 733</t>
  </si>
  <si>
    <t>SABAYMILADE@GMAIL.COM</t>
  </si>
  <si>
    <t>CALUDIA METUAZE</t>
  </si>
  <si>
    <t>M.ARMIJO@JAVER.CL</t>
  </si>
  <si>
    <t>LAUTARO # 401</t>
  </si>
  <si>
    <t>ALFREDO NAZAL@GMAIL.COM</t>
  </si>
  <si>
    <t>CAROLINA GALLARDO CEPEDA</t>
  </si>
  <si>
    <t>PALMA</t>
  </si>
  <si>
    <t>CHILLAN 502 LOCAL 13</t>
  </si>
  <si>
    <t>KATTIE.CARRASCO@HOTMAIL.COM</t>
  </si>
  <si>
    <t>TIENDAS DE VESTIR Y CALZADO</t>
  </si>
  <si>
    <t>NOELIAGARRIDO33@GMAIL.COM</t>
  </si>
  <si>
    <t>BRAZIL PORTAL ESTACION 479 LOC. 32</t>
  </si>
  <si>
    <t>77.730.780-0</t>
  </si>
  <si>
    <t>MANUF E IMPORTADORA TITANIUM LTDA</t>
  </si>
  <si>
    <t>AV . PRESIDENTE KENNEDY 5600</t>
  </si>
  <si>
    <t>81.201.000-K</t>
  </si>
  <si>
    <t>CENCOSUD (PARIS-CL)</t>
  </si>
  <si>
    <t>AV. KENNEDY 9001 PISO 5</t>
  </si>
  <si>
    <t>CREDITO 30 Y 60</t>
  </si>
  <si>
    <t>SERRANO 395 LOCAL 211</t>
  </si>
  <si>
    <t>BOUTIQUE CANELA Y MIEL</t>
  </si>
  <si>
    <t>CECILIA.MOHICANO@GMAIL.COM</t>
  </si>
  <si>
    <t>URIBE 166 LOCAL 2</t>
  </si>
  <si>
    <t>JT</t>
  </si>
  <si>
    <t>e.anabalon@mawi.cl, n.anabalon@mawi.cl, VENTAS@MAWI.CL</t>
  </si>
  <si>
    <t>CREDITO30 Y 60</t>
  </si>
  <si>
    <t>TRANSF. CONTRA FACTURA</t>
  </si>
  <si>
    <t>DUSAN</t>
  </si>
  <si>
    <t>JOHANNA BOUTIQUE</t>
  </si>
  <si>
    <t>77.186.209-8</t>
  </si>
  <si>
    <t>BOUTIQUE CATALINA VELIZ EIRL</t>
  </si>
  <si>
    <t>PARQUE ZAPALLAR LAS GRACIAS695</t>
  </si>
  <si>
    <t>13.095.768-4</t>
  </si>
  <si>
    <t>PAOLA FUENTES FLORES</t>
  </si>
  <si>
    <t>MONSEÑOR DIEGO DE MEDELLIN1539</t>
  </si>
  <si>
    <t>POLA.F@HOTMAIL.CL</t>
  </si>
  <si>
    <t>STARKEN</t>
  </si>
  <si>
    <t>CREDITO 3O Y 60</t>
  </si>
  <si>
    <t>CAROLINA MIRANDA</t>
  </si>
  <si>
    <t>RAFAEL CASANOVA 213 SANTA CRUZ</t>
  </si>
  <si>
    <t>CAROLINAMIRANDA09@HOTMAIL.COM</t>
  </si>
  <si>
    <t>77.125.068-8</t>
  </si>
  <si>
    <t>ESMERALDA  N° 427 LOCAL 45</t>
  </si>
  <si>
    <t>ayanca12@gmail.com</t>
  </si>
  <si>
    <t>PULMANN</t>
  </si>
  <si>
    <t>PRAT 549</t>
  </si>
  <si>
    <t>NOLBERTO.E.AVLA@GMAIL.COM</t>
  </si>
  <si>
    <t>SRA. CECILIA</t>
  </si>
  <si>
    <t>SCARLETT BOUTIQUE</t>
  </si>
  <si>
    <t>MARCELOC@MULTICENTRO.CL</t>
  </si>
  <si>
    <t>CREDITO 60 DIAS</t>
  </si>
  <si>
    <t>MULTICENTRO</t>
  </si>
  <si>
    <t>FERNANDA ROMAN</t>
  </si>
  <si>
    <t>MULTITIENDAS SAN ANTONIO</t>
  </si>
  <si>
    <t>PROVEEDOR@EVITA.CL</t>
  </si>
  <si>
    <t>76.029.365-2</t>
  </si>
  <si>
    <t>COMPRA Y VENTA DE JEANS Y ACCESORIOS DIVAS LTDA</t>
  </si>
  <si>
    <t>YUNGAY 746</t>
  </si>
  <si>
    <t>SANDRYANTONIETA@GAMIL.COM</t>
  </si>
  <si>
    <t>CONTADO 30 Y 60 DIAS</t>
  </si>
  <si>
    <t>10.561.305-9</t>
  </si>
  <si>
    <t>MARISOL DURAN NAVARRO</t>
  </si>
  <si>
    <t>SERRANO 533-A</t>
  </si>
  <si>
    <t>MARISOL_DURAN_N@HOTMAIL.COM</t>
  </si>
  <si>
    <t>LA GAVIOTA</t>
  </si>
  <si>
    <t>ignacio.rivas@dimarsa.cl</t>
  </si>
  <si>
    <t>IGNACIO RIVAS</t>
  </si>
  <si>
    <t>76.899.437-4</t>
  </si>
  <si>
    <t>COMERCIAL CALBUMAR LIMITADA</t>
  </si>
  <si>
    <t>FEDERICO ERRAZURIZ 221</t>
  </si>
  <si>
    <t>IGNACIO.RIVAS@DIMARSA.CL</t>
  </si>
  <si>
    <t>MULTITIENDAS DI AYSEN</t>
  </si>
  <si>
    <t>TENIENTE MERINO 945 ESQ.CAUPOLICAN</t>
  </si>
  <si>
    <t>GONART MODAS LTDA</t>
  </si>
  <si>
    <t>SRA. MARIA E BORIC</t>
  </si>
  <si>
    <t>CREDITO 30 Y 60 DIAS</t>
  </si>
  <si>
    <t>GONART MODAS</t>
  </si>
  <si>
    <t>Sra. Camila jaime</t>
  </si>
  <si>
    <t>VESTUARIO</t>
  </si>
  <si>
    <t>CAMILA BOUTIQUE</t>
  </si>
  <si>
    <t>TIENDA DE VESTUARIO</t>
  </si>
  <si>
    <t>DULCE MODA BOUTIQUE</t>
  </si>
  <si>
    <t>CLIENTES</t>
  </si>
  <si>
    <t>BALMACEDA 249</t>
  </si>
  <si>
    <t>HUMERES 727</t>
  </si>
  <si>
    <t>LAGOS 957</t>
  </si>
  <si>
    <t>OLGAPOBLETECONCHA@GMAIL.COM</t>
  </si>
  <si>
    <t>OLGA POBLETE</t>
  </si>
  <si>
    <t>TRANSF. CONTRAFACTURA</t>
  </si>
  <si>
    <t>FENIX BOUTIQUE</t>
  </si>
  <si>
    <t>DENEBOLA 1033</t>
  </si>
  <si>
    <t>CONSTITUCION 810 LOCAL 6</t>
  </si>
  <si>
    <t>PADRE ORELLANA 1437</t>
  </si>
  <si>
    <t>AURELIO.HUILCA27@HOTMAIL.COM</t>
  </si>
  <si>
    <t>14.635.110-7</t>
  </si>
  <si>
    <t>17.331.203-2</t>
  </si>
  <si>
    <t>ACOMODAR NUMERO</t>
  </si>
  <si>
    <t>CAMILA FORCAEL RIVAS</t>
  </si>
  <si>
    <t>www.angelesjeans.cl</t>
  </si>
  <si>
    <t>JOHANNA LEIVA</t>
  </si>
  <si>
    <t xml:space="preserve"> TIENDA ONLINE</t>
  </si>
  <si>
    <t>LEXMI FUENTES LAGOS</t>
  </si>
  <si>
    <t>ENCARGADA</t>
  </si>
  <si>
    <t>INSTAGRAM: @tiendadusan.cl</t>
  </si>
  <si>
    <t>18.688.942-8</t>
  </si>
  <si>
    <t>JUANA ARAYA CAMPUSANO</t>
  </si>
  <si>
    <t>ANGELA FONTANA</t>
  </si>
  <si>
    <t>SRA. MARCY DUARTE ZAMORA</t>
  </si>
  <si>
    <t>JUAN ALVARADO</t>
  </si>
  <si>
    <t>NUMERO TELEFONICO EXTRANJERO</t>
  </si>
  <si>
    <t>89468572-930567074</t>
  </si>
  <si>
    <t>CECILIA ROJO JIMENEZ</t>
  </si>
  <si>
    <t>GIRASOLES BOUTIQUE</t>
  </si>
  <si>
    <t>NORA BARRAZA</t>
  </si>
  <si>
    <t>EMILIA MARÍA PALMA VILCHES</t>
  </si>
  <si>
    <t>ARTURO PRAT 2545 SAN JAVIER</t>
  </si>
  <si>
    <t>VII REGION</t>
  </si>
  <si>
    <t>mili.palma@gmail.com</t>
  </si>
  <si>
    <t>EMILIA SPA</t>
  </si>
  <si>
    <t xml:space="preserve">CREDITO 30 Y 60 </t>
  </si>
  <si>
    <t>CREDITO 30 DIAS</t>
  </si>
  <si>
    <t>CREDITO30 DIAS</t>
  </si>
  <si>
    <t>6O DIAS</t>
  </si>
  <si>
    <t>60 DIAS</t>
  </si>
  <si>
    <t>60DIAS</t>
  </si>
  <si>
    <t>30DIAS</t>
  </si>
  <si>
    <t>CHEQUE 30 DIAS</t>
  </si>
  <si>
    <t>CONTRAENTREGA</t>
  </si>
  <si>
    <t>76.975.824-0</t>
  </si>
  <si>
    <t>INVERSIONES ARMONI LTDA</t>
  </si>
  <si>
    <t>SAAVEDRA N°419</t>
  </si>
  <si>
    <t>CAÑETE</t>
  </si>
  <si>
    <t>psanchez@armonie.cl</t>
  </si>
  <si>
    <t>tiendacmua@gmail.com</t>
  </si>
  <si>
    <t>SOCIEDAD COMERCIAL ARS LTDA.</t>
  </si>
  <si>
    <t>76.038.181-0</t>
  </si>
  <si>
    <t>YUNGAY</t>
  </si>
  <si>
    <t>ANGAMOS N° 122</t>
  </si>
  <si>
    <t>42 268 02 63</t>
  </si>
  <si>
    <t>JORGE CUEVAS</t>
  </si>
  <si>
    <t>tiendasbyn@gmail.com</t>
  </si>
  <si>
    <t>BLANCO Y NEGRO</t>
  </si>
  <si>
    <t>JC</t>
  </si>
  <si>
    <t>BOUTIQUE LA HERRADURA LIMITADA</t>
  </si>
  <si>
    <t>76.824.379-4</t>
  </si>
  <si>
    <t>COCHRANE 651 L COMERCIAL 102</t>
  </si>
  <si>
    <t>MAURICIODONOSOMONTOYA@HOTMAIL.</t>
  </si>
  <si>
    <t>76.009.490-0</t>
  </si>
  <si>
    <t>COMERCIAL DIANCU LTDA.</t>
  </si>
  <si>
    <t>PUDETO 278</t>
  </si>
  <si>
    <t>yenny.matamala@dimarsa.cl</t>
  </si>
  <si>
    <t>TRANSPORTES SANCHEZ</t>
  </si>
  <si>
    <t>SOC.COM.E INMOB. SANTOLAYA HNOS LTDA.</t>
  </si>
  <si>
    <t>80.856.900-0</t>
  </si>
  <si>
    <t>A.PRAT 585</t>
  </si>
  <si>
    <t>8-5277040</t>
  </si>
  <si>
    <t>PULLMAN CARGO</t>
  </si>
  <si>
    <t>casacastilla@vtr.net</t>
  </si>
  <si>
    <t>JENNY RAMIREZ MORENO</t>
  </si>
  <si>
    <t>12.213.725-2</t>
  </si>
  <si>
    <t>LAS GARDENIAS 1394 VILLA FLORI</t>
  </si>
  <si>
    <t>JEPAT72@HOTMAIL.COM</t>
  </si>
  <si>
    <t>PATRICIA SALAZAR MUÑOZ</t>
  </si>
  <si>
    <t>14.557.734-9</t>
  </si>
  <si>
    <t>PJE LLANQUIHUE 4216 D/3</t>
  </si>
  <si>
    <t>SALAZARPATRICIA686@GMAIL.COM</t>
  </si>
  <si>
    <t>77.315.792-8</t>
  </si>
  <si>
    <t>SOCIEDAD L Y R SPA</t>
  </si>
  <si>
    <t>CALLE LADRILLERO #075</t>
  </si>
  <si>
    <t>PARRAEL2@YAHOO.ES</t>
  </si>
  <si>
    <t>77.111.582-9</t>
  </si>
  <si>
    <t>COMERCIAL VIVO SUR SPA</t>
  </si>
  <si>
    <t>SAN FELIPE 183</t>
  </si>
  <si>
    <t>VICTORHVIVAR@GRUPOVIO.CL</t>
  </si>
  <si>
    <t>562-33039629 / ANEXO 9629</t>
  </si>
  <si>
    <t>N°</t>
  </si>
  <si>
    <t>COMERCIAL GERMANI</t>
  </si>
  <si>
    <t>ESTABLECIMIENTO GERMANI</t>
  </si>
  <si>
    <t>SEIDEMAN</t>
  </si>
  <si>
    <t>INV JULIAN</t>
  </si>
  <si>
    <t>JAVER HNOS</t>
  </si>
  <si>
    <t>COMERCIAL NACE</t>
  </si>
  <si>
    <t>ALMACENES ELTIT</t>
  </si>
  <si>
    <t>-</t>
  </si>
  <si>
    <t xml:space="preserve">SOC.FLORES ALMANDOZ NA        </t>
  </si>
  <si>
    <t>FORCAEL</t>
  </si>
  <si>
    <t>ROBERTO KOBUS</t>
  </si>
  <si>
    <t>HUGO MONTERO</t>
  </si>
  <si>
    <t>GRAN AVENTURA</t>
  </si>
  <si>
    <t>SOC. COM. DON JORGE</t>
  </si>
  <si>
    <t>SABINA QUISPE</t>
  </si>
  <si>
    <t>WILFREDO ROJAS</t>
  </si>
  <si>
    <t>SOC COMERCIAL CMUA</t>
  </si>
  <si>
    <t>ANA GABRIELA JIMENEZ</t>
  </si>
  <si>
    <t>CELIA VASQUEZ</t>
  </si>
  <si>
    <t>NOLBERTO AVILA</t>
  </si>
  <si>
    <t>CONFECCIONES ARAUCO</t>
  </si>
  <si>
    <t>LUIS CARRASCO</t>
  </si>
  <si>
    <t>CARLOS MELLA</t>
  </si>
  <si>
    <t>FARMACEUTICA QUELLON</t>
  </si>
  <si>
    <t>SOL Y VENUS</t>
  </si>
  <si>
    <t>COMERCIAL AGATTA</t>
  </si>
  <si>
    <t>ADIQTUS</t>
  </si>
  <si>
    <t>TIENDAS ALFREDO NAZAL</t>
  </si>
  <si>
    <t>NORMA RIFFO</t>
  </si>
  <si>
    <t>GLADYS VALDIVIA</t>
  </si>
  <si>
    <t>BELLAFUENTES</t>
  </si>
  <si>
    <t>OPALO</t>
  </si>
  <si>
    <t>DESCUENTO COLE 18 (10/09/2021) POR PAGO DE CONTADO</t>
  </si>
  <si>
    <t>CLIENTES DE TRAYECTORIA</t>
  </si>
  <si>
    <t>BOTA</t>
  </si>
  <si>
    <t>MENA</t>
  </si>
  <si>
    <t>MARISOL DURAN</t>
  </si>
  <si>
    <t>76775608-9</t>
  </si>
  <si>
    <t>BOUTIQUE LA HERRADURA</t>
  </si>
  <si>
    <t>Muslo</t>
  </si>
  <si>
    <t>Palazzo</t>
  </si>
  <si>
    <t xml:space="preserve">(Sistema consolidado de morosidad y protesto) de DICOM S.A. o en cualquier otra base de datos de morosidades y protestos existentes </t>
  </si>
  <si>
    <t xml:space="preserve">  </t>
  </si>
  <si>
    <t>Van Oosterwyk</t>
  </si>
  <si>
    <t>3821-00</t>
  </si>
  <si>
    <t>3821-01</t>
  </si>
  <si>
    <t>3846-04</t>
  </si>
  <si>
    <t>3846-06</t>
  </si>
  <si>
    <t>3846-09</t>
  </si>
  <si>
    <t>3846-38</t>
  </si>
  <si>
    <t>3846-71</t>
  </si>
  <si>
    <t>3853-04</t>
  </si>
  <si>
    <t>3862-00</t>
  </si>
  <si>
    <t>3862-01</t>
  </si>
  <si>
    <t>3871-00</t>
  </si>
  <si>
    <t>3871-01</t>
  </si>
  <si>
    <t>3892-00</t>
  </si>
  <si>
    <t>3892-01</t>
  </si>
  <si>
    <t>3894-00</t>
  </si>
  <si>
    <t>3894-01</t>
  </si>
  <si>
    <t>3832-09</t>
  </si>
  <si>
    <t>Vestido</t>
  </si>
  <si>
    <t>Recto/ Cargo</t>
  </si>
  <si>
    <t>Clásico Oxidado</t>
  </si>
  <si>
    <t>Vestido negro con cinturón</t>
  </si>
  <si>
    <t>Negro pestaña bolsillo delantero</t>
  </si>
  <si>
    <t>Smart Denim, azul focalizado tenue</t>
  </si>
  <si>
    <t>Negro</t>
  </si>
  <si>
    <t>Negro Eco Cuero</t>
  </si>
  <si>
    <t>Clásico Eco Cuero</t>
  </si>
  <si>
    <t xml:space="preserve">Vestido Negro Cinturon </t>
  </si>
  <si>
    <t>Cargo 4 bolsillos color Ostra</t>
  </si>
  <si>
    <t>Cargo 4 bolsillos color Verde Oliva</t>
  </si>
  <si>
    <t>Cargo 4 bolsillos teñido orgánico con nueces</t>
  </si>
  <si>
    <t>Cargo 4 bolsillos color chocolate</t>
  </si>
  <si>
    <t>Clásico Gris focalizado bolsillos traseros ovalados</t>
  </si>
  <si>
    <t>Pretina ancha con doble botón Bio Medio</t>
  </si>
  <si>
    <t>Cargo 4 bolsillos Gravillado celeste</t>
  </si>
  <si>
    <t xml:space="preserve">Smart Denim pinza costado sin basta </t>
  </si>
  <si>
    <t>Corte pierna</t>
  </si>
  <si>
    <t>Clásico</t>
  </si>
  <si>
    <t>Pieza lateral</t>
  </si>
  <si>
    <t>Clásico 5 bolsillos bolsillo trasero destroyed</t>
  </si>
  <si>
    <t>Azúl focalizado 2 pasadores atraque V</t>
  </si>
  <si>
    <t xml:space="preserve">Cargo 4 bolsillos,  Bolsillo Argentino </t>
  </si>
  <si>
    <t>Cargo Gris gravillado</t>
  </si>
  <si>
    <t>Roturas delanteras y bolsillos traseros</t>
  </si>
  <si>
    <t>ARTÍCULO</t>
  </si>
  <si>
    <t>TITANIUM CHILE SPA</t>
  </si>
  <si>
    <t>Valor</t>
  </si>
  <si>
    <t>X3805</t>
  </si>
  <si>
    <t>X3875</t>
  </si>
  <si>
    <t>X3895</t>
  </si>
  <si>
    <t>X123826</t>
  </si>
  <si>
    <t>Casaca oversize con tapetas, gravillado</t>
  </si>
  <si>
    <t>Negro  con aplicación Lumen</t>
  </si>
  <si>
    <t xml:space="preserve">Pretina revés, doble bolsillo relojero, cierre bota </t>
  </si>
  <si>
    <t>Verde con pretina desflecada</t>
  </si>
  <si>
    <t>Clásico 5 bolsillos, gris con repaso costura</t>
  </si>
  <si>
    <t>Cargo negro Eco Cuero</t>
  </si>
  <si>
    <t xml:space="preserve">Cargo 4 bolsillos color Terracota </t>
  </si>
  <si>
    <t>Cargo/cinturón chocolate hilo al tono</t>
  </si>
  <si>
    <t xml:space="preserve">Azúl focalizado tenue, pinzas delanteras y traseras </t>
  </si>
  <si>
    <t>Wide Leg marengo</t>
  </si>
  <si>
    <t>Casaca oversize, bordado, gravillado</t>
  </si>
  <si>
    <t>Corte  diagonal en pretina</t>
  </si>
  <si>
    <t>HIGH WAIST sin pinza</t>
  </si>
  <si>
    <t>Clásico color negro bolsillos traseros ovalados</t>
  </si>
  <si>
    <t>Push in push up azúl focalizado</t>
  </si>
  <si>
    <t>Pretina desflecada sin basta desflecada</t>
  </si>
  <si>
    <t xml:space="preserve">Tajali en bota, pieza en altura bigotes </t>
  </si>
  <si>
    <t xml:space="preserve">Wide Leg  azúl focalizado tenue </t>
  </si>
  <si>
    <t xml:space="preserve">Cargo azúl, con bolsillos carpinteros </t>
  </si>
  <si>
    <t>Cargo 4 bolsillos Bio Focalizado azúl</t>
  </si>
  <si>
    <t>Casaca clásica, aplicación eco cuero</t>
  </si>
  <si>
    <t>Clásico azúl bolsillos traseros ovalados</t>
  </si>
  <si>
    <t xml:space="preserve">  9-5791119</t>
  </si>
  <si>
    <t xml:space="preserve">09-3447832 </t>
  </si>
  <si>
    <t>Dcto</t>
  </si>
  <si>
    <t>DUEÑO</t>
  </si>
  <si>
    <t>SOCIO</t>
  </si>
  <si>
    <t>CRISTINA PAGOS</t>
  </si>
  <si>
    <t xml:space="preserve">MARLON ZAPATA </t>
  </si>
  <si>
    <t>VERONICA PAGOS</t>
  </si>
  <si>
    <t xml:space="preserve">PAOLA SAN MARTIN </t>
  </si>
  <si>
    <t xml:space="preserve">SOCIAS  </t>
  </si>
  <si>
    <t>PATRICIA PAGOS</t>
  </si>
  <si>
    <t xml:space="preserve">JENIFER PAGOS </t>
  </si>
  <si>
    <t>INES VARGAS</t>
  </si>
  <si>
    <t xml:space="preserve">gloria tapia  </t>
  </si>
  <si>
    <t xml:space="preserve">ANITA GADICKE </t>
  </si>
  <si>
    <t xml:space="preserve">HILIA CONCHA  </t>
  </si>
  <si>
    <t>IRMA ROMERO</t>
  </si>
  <si>
    <t xml:space="preserve">ROMAN CASTRO  </t>
  </si>
  <si>
    <t xml:space="preserve">PATRICIA HAFFON  </t>
  </si>
  <si>
    <t xml:space="preserve">SRA FRANCISCA </t>
  </si>
  <si>
    <t>CARLA GONZALEZ</t>
  </si>
  <si>
    <t xml:space="preserve">LEYLA DEL CAMPO  </t>
  </si>
  <si>
    <t>LUCRESIA ESCANDON</t>
  </si>
  <si>
    <t xml:space="preserve">SABINA QUISPE </t>
  </si>
  <si>
    <t xml:space="preserve">NEDY </t>
  </si>
  <si>
    <t xml:space="preserve">CELIA VASQUEZ </t>
  </si>
  <si>
    <t xml:space="preserve">DANITZA OSSES </t>
  </si>
  <si>
    <t xml:space="preserve">BELLA FUENTES </t>
  </si>
  <si>
    <t xml:space="preserve">HUGO MONTERO  </t>
  </si>
  <si>
    <t>ARMANDO BARRIA</t>
  </si>
  <si>
    <t>MABEL MUÑOZ</t>
  </si>
  <si>
    <t>CECILIA RIVERA</t>
  </si>
  <si>
    <t>FRANKA SALAZAR</t>
  </si>
  <si>
    <t xml:space="preserve">MARIA OYARZUN </t>
  </si>
  <si>
    <t xml:space="preserve">ANA SAAVEDRA  </t>
  </si>
  <si>
    <t xml:space="preserve">PAOLA CACERES </t>
  </si>
  <si>
    <t xml:space="preserve">CARMEN TEMER  </t>
  </si>
  <si>
    <t xml:space="preserve">SRA PILAR JEREZ  </t>
  </si>
  <si>
    <t>ALEJANDRA FLANDEZ</t>
  </si>
  <si>
    <t>Jorge  QUINTANA</t>
  </si>
  <si>
    <t xml:space="preserve">OLGA HERMOSILLA  </t>
  </si>
  <si>
    <t xml:space="preserve">GLADYS VALDIVIA  </t>
  </si>
  <si>
    <t>PATRICIA GOMEZ</t>
  </si>
  <si>
    <t>CARLOS VEGA</t>
  </si>
  <si>
    <t xml:space="preserve">ERIKA ANABALON </t>
  </si>
  <si>
    <t xml:space="preserve">CECILIA </t>
  </si>
  <si>
    <t xml:space="preserve">ALFREDO NAZAL </t>
  </si>
  <si>
    <t xml:space="preserve">MARCELA </t>
  </si>
  <si>
    <t xml:space="preserve">PILAR ANANIAS </t>
  </si>
  <si>
    <t xml:space="preserve">IVONNE OSORIO </t>
  </si>
  <si>
    <t>TULIO MATURANA</t>
  </si>
  <si>
    <t xml:space="preserve">FRANCA ALBASINI  </t>
  </si>
  <si>
    <t>BLANCA VERA</t>
  </si>
  <si>
    <t>SRTA ISABEL</t>
  </si>
  <si>
    <t xml:space="preserve">RODRIGO ALVAREZ  </t>
  </si>
  <si>
    <t xml:space="preserve">M ARMIJO VENTAS  </t>
  </si>
  <si>
    <t xml:space="preserve">EMILIA TEPANO </t>
  </si>
  <si>
    <t xml:space="preserve">GIOVANNA NOCERA  </t>
  </si>
  <si>
    <t>CRISTIAN VALENCIA</t>
  </si>
  <si>
    <t xml:space="preserve">GERMAN GONZALEZ  </t>
  </si>
  <si>
    <t xml:space="preserve">EVELYN ALAMO  </t>
  </si>
  <si>
    <t xml:space="preserve">MIRIAM  </t>
  </si>
  <si>
    <t xml:space="preserve">PATRICIO INFANTE </t>
  </si>
  <si>
    <t xml:space="preserve">SOLEDAD GONZALEZ </t>
  </si>
  <si>
    <t xml:space="preserve">MACHOS BOUTIQUE@SURNET.CL  </t>
  </si>
  <si>
    <t xml:space="preserve">M.ARMIJO@JAVER.CL </t>
  </si>
  <si>
    <t xml:space="preserve">ETEPANO@COOPERCARAB.CL  </t>
  </si>
  <si>
    <t>J.AREA6@DIMARSA.CL</t>
  </si>
  <si>
    <t xml:space="preserve">tiendasmachos@gmail.com </t>
  </si>
  <si>
    <t xml:space="preserve">manfredi@hotmail.com </t>
  </si>
  <si>
    <t>tiendaelegance@gmail.com</t>
  </si>
  <si>
    <t>lfsr24@hotmail.com</t>
  </si>
  <si>
    <t xml:space="preserve">anitagadicke@gmail.com  </t>
  </si>
  <si>
    <t xml:space="preserve">balaustros2@hotmail.com </t>
  </si>
  <si>
    <t xml:space="preserve">anisalta@hotmail.com </t>
  </si>
  <si>
    <t xml:space="preserve">mayobenites@hotmail.com </t>
  </si>
  <si>
    <t xml:space="preserve">luigizandonay@hotmail.com  </t>
  </si>
  <si>
    <t>senrodtom@hotmail.com</t>
  </si>
  <si>
    <t xml:space="preserve">castro.jade@hotmail.com </t>
  </si>
  <si>
    <t xml:space="preserve">phafond@hotmail.com  </t>
  </si>
  <si>
    <t xml:space="preserve">franciscaides@hotmail.com  </t>
  </si>
  <si>
    <t xml:space="preserve">cgonza77@hotmail.com </t>
  </si>
  <si>
    <t xml:space="preserve">oleyboutique@gmail.com  </t>
  </si>
  <si>
    <t xml:space="preserve">lucre_esve1@hotmail.com </t>
  </si>
  <si>
    <t>ricardo_lmunoz@yahoo.com</t>
  </si>
  <si>
    <t xml:space="preserve">rosa.fuentes.23@gmail.com  </t>
  </si>
  <si>
    <t xml:space="preserve">mariaconcha-63@hotmail.co  </t>
  </si>
  <si>
    <t xml:space="preserve">krojasramirez@gmail.com </t>
  </si>
  <si>
    <t xml:space="preserve">prodigos@live.cl  </t>
  </si>
  <si>
    <t>patcemesa@hotmail.com</t>
  </si>
  <si>
    <t>danitzaosses@hotmail.com</t>
  </si>
  <si>
    <t>hugomonterof@yahoo.es</t>
  </si>
  <si>
    <t xml:space="preserve">tiendarmando@gmial.com  </t>
  </si>
  <si>
    <t xml:space="preserve">comercialpaucoma@gmail.co  </t>
  </si>
  <si>
    <t xml:space="preserve">bebaignacia@hotmail.com </t>
  </si>
  <si>
    <t xml:space="preserve">franka92@hotmail.com </t>
  </si>
  <si>
    <t xml:space="preserve">jorgecabett@hotmail.com </t>
  </si>
  <si>
    <t>ALBANYSPORT@GMAIL.COM</t>
  </si>
  <si>
    <t>ANASAAVEDRAO@HOTMAIL.COM</t>
  </si>
  <si>
    <t>pcaceres@coopatria.cl</t>
  </si>
  <si>
    <t>carmentemer@gmail.com</t>
  </si>
  <si>
    <t xml:space="preserve">boutiqueloscisnes@gmail.com  </t>
  </si>
  <si>
    <t xml:space="preserve">malvarez@dimarsa.cl  </t>
  </si>
  <si>
    <t xml:space="preserve">jorgeflandezg@yahoo.com </t>
  </si>
  <si>
    <t>jsanmartin@tiendaelpunto.cl</t>
  </si>
  <si>
    <t xml:space="preserve">boberck ptomontt@123.cl </t>
  </si>
  <si>
    <t xml:space="preserve">avenuelaligua@gmail.com </t>
  </si>
  <si>
    <t xml:space="preserve">tiendayuly@patagoniachile.cl </t>
  </si>
  <si>
    <t xml:space="preserve">cvegamartino@gmail.com  </t>
  </si>
  <si>
    <t xml:space="preserve">fachasltda@hotmail.com  </t>
  </si>
  <si>
    <t xml:space="preserve">LILIANAMEZA@LIVE.COM </t>
  </si>
  <si>
    <t xml:space="preserve">tiendascycecilia@gmail.com  </t>
  </si>
  <si>
    <t xml:space="preserve">alfredonazal@gmail.com  </t>
  </si>
  <si>
    <t xml:space="preserve">casabrown@live.cl </t>
  </si>
  <si>
    <t xml:space="preserve">enrique.pablo.c@gmail.com  </t>
  </si>
  <si>
    <t xml:space="preserve">juansenor@vtr.net </t>
  </si>
  <si>
    <t>franca@albasini.cl</t>
  </si>
  <si>
    <t>bveram@hotmail.com</t>
  </si>
  <si>
    <t>sin email</t>
  </si>
  <si>
    <t>opervalpo@coopercarab.cl</t>
  </si>
  <si>
    <t>cvalencia69@gmail.com</t>
  </si>
  <si>
    <t>gerencia@seidemann.cl</t>
  </si>
  <si>
    <t xml:space="preserve">pinfante@multihogar.cl  </t>
  </si>
  <si>
    <t>soledad@casaalicia.cl</t>
  </si>
  <si>
    <t>MUNDOHOGARTHNO@GMAIL.COM</t>
  </si>
  <si>
    <t xml:space="preserve">jetzabel.aguirre@gmail.com </t>
  </si>
  <si>
    <t xml:space="preserve">joyas_veronica@hotmail.com </t>
  </si>
  <si>
    <t xml:space="preserve">TIENDAJOSSELIN@HOTMAIL.COM </t>
  </si>
  <si>
    <t xml:space="preserve">SERGIO KRAMARENCO </t>
  </si>
  <si>
    <t xml:space="preserve">053-622626 </t>
  </si>
  <si>
    <t>058-2232959</t>
  </si>
  <si>
    <t xml:space="preserve">32-2951011 </t>
  </si>
  <si>
    <t>09-98175762</t>
  </si>
  <si>
    <t>041/2691287</t>
  </si>
  <si>
    <t xml:space="preserve">51-215122  </t>
  </si>
  <si>
    <t xml:space="preserve">73-2322862  </t>
  </si>
  <si>
    <t xml:space="preserve">58-2232504 </t>
  </si>
  <si>
    <t xml:space="preserve">55-812319  </t>
  </si>
  <si>
    <t>2  27586405</t>
  </si>
  <si>
    <t xml:space="preserve">51-531308  </t>
  </si>
  <si>
    <t xml:space="preserve">067-336824 </t>
  </si>
  <si>
    <t xml:space="preserve">64-425041  </t>
  </si>
  <si>
    <t xml:space="preserve">58-251824 LOCAL  </t>
  </si>
  <si>
    <t xml:space="preserve">65/611209 611543 </t>
  </si>
  <si>
    <t xml:space="preserve">67-245741  </t>
  </si>
  <si>
    <t xml:space="preserve">71-2673006  </t>
  </si>
  <si>
    <t xml:space="preserve">67-552734  </t>
  </si>
  <si>
    <t xml:space="preserve">052/241236 </t>
  </si>
  <si>
    <t xml:space="preserve">045-2412431 </t>
  </si>
  <si>
    <t xml:space="preserve">045-861873 </t>
  </si>
  <si>
    <t xml:space="preserve">45-861192  </t>
  </si>
  <si>
    <t xml:space="preserve">73-2219931  </t>
  </si>
  <si>
    <t xml:space="preserve">061-413977 </t>
  </si>
  <si>
    <t xml:space="preserve">45-717973  </t>
  </si>
  <si>
    <t xml:space="preserve">9-8640684  </t>
  </si>
  <si>
    <t xml:space="preserve">61-710598  </t>
  </si>
  <si>
    <t xml:space="preserve">42-411798  </t>
  </si>
  <si>
    <t>02-26994660</t>
  </si>
  <si>
    <t>041-2552402</t>
  </si>
  <si>
    <t xml:space="preserve">45-712538  </t>
  </si>
  <si>
    <t xml:space="preserve">065-292000 </t>
  </si>
  <si>
    <t>063-311014-311089</t>
  </si>
  <si>
    <t>09-72950801</t>
  </si>
  <si>
    <t xml:space="preserve">042-416759 </t>
  </si>
  <si>
    <t xml:space="preserve">65-3337952 </t>
  </si>
  <si>
    <t xml:space="preserve">67-336452  </t>
  </si>
  <si>
    <t xml:space="preserve">45-416539  </t>
  </si>
  <si>
    <t xml:space="preserve">67-215040  </t>
  </si>
  <si>
    <t xml:space="preserve">72-824563  </t>
  </si>
  <si>
    <t xml:space="preserve">33-2713347  </t>
  </si>
  <si>
    <t>057-2391306</t>
  </si>
  <si>
    <t xml:space="preserve">45-713425  </t>
  </si>
  <si>
    <t xml:space="preserve">065-530546 </t>
  </si>
  <si>
    <t xml:space="preserve">65-2257585  </t>
  </si>
  <si>
    <t xml:space="preserve">065-292650 </t>
  </si>
  <si>
    <t xml:space="preserve">45-441103-379550 </t>
  </si>
  <si>
    <t xml:space="preserve">052-236479 </t>
  </si>
  <si>
    <t>041-2650083</t>
  </si>
  <si>
    <t xml:space="preserve">52-212788  </t>
  </si>
  <si>
    <t xml:space="preserve">64-201105  </t>
  </si>
  <si>
    <t xml:space="preserve">51-315989  </t>
  </si>
  <si>
    <t xml:space="preserve">71-214581  </t>
  </si>
  <si>
    <t xml:space="preserve">(55)280856 </t>
  </si>
  <si>
    <t xml:space="preserve">(41) 2521576  </t>
  </si>
  <si>
    <t xml:space="preserve">73-2322204  </t>
  </si>
  <si>
    <t xml:space="preserve">61-223355  </t>
  </si>
  <si>
    <t xml:space="preserve">51-544470  </t>
  </si>
  <si>
    <t xml:space="preserve">73-2620000  </t>
  </si>
  <si>
    <t xml:space="preserve">71-2229001  </t>
  </si>
  <si>
    <t xml:space="preserve">42-241618  </t>
  </si>
  <si>
    <t xml:space="preserve">75/204600  </t>
  </si>
  <si>
    <t xml:space="preserve">67-232190  </t>
  </si>
  <si>
    <t xml:space="preserve">41-791790  </t>
  </si>
  <si>
    <t xml:space="preserve">45-815131  </t>
  </si>
  <si>
    <t>522441225-99789159 Verónica</t>
  </si>
  <si>
    <t xml:space="preserve">ANCUD </t>
  </si>
  <si>
    <t xml:space="preserve">COPIAPO  </t>
  </si>
  <si>
    <t xml:space="preserve">ARICA </t>
  </si>
  <si>
    <t xml:space="preserve">CABILDO  </t>
  </si>
  <si>
    <t xml:space="preserve">CONCEPCION  </t>
  </si>
  <si>
    <t xml:space="preserve">CHAÑARAL </t>
  </si>
  <si>
    <t xml:space="preserve">CURANILAHUE </t>
  </si>
  <si>
    <t xml:space="preserve">SAN JAVIER  </t>
  </si>
  <si>
    <t xml:space="preserve">TOME  </t>
  </si>
  <si>
    <t>TOCOPILLA</t>
  </si>
  <si>
    <t>HUASCO</t>
  </si>
  <si>
    <t xml:space="preserve">QUELLON  </t>
  </si>
  <si>
    <t xml:space="preserve">LA UNION </t>
  </si>
  <si>
    <t xml:space="preserve">QUEILEN  </t>
  </si>
  <si>
    <t xml:space="preserve">VILLARRICA  </t>
  </si>
  <si>
    <t xml:space="preserve">TRAIGUEN </t>
  </si>
  <si>
    <t xml:space="preserve">LINARES  </t>
  </si>
  <si>
    <t xml:space="preserve">ANGOL </t>
  </si>
  <si>
    <t xml:space="preserve">ANTOFAGASTA </t>
  </si>
  <si>
    <t xml:space="preserve">SANTIAGO </t>
  </si>
  <si>
    <t xml:space="preserve">PANGUIPULLI </t>
  </si>
  <si>
    <t xml:space="preserve">RENGO </t>
  </si>
  <si>
    <t xml:space="preserve">SAN CARLOS  </t>
  </si>
  <si>
    <t xml:space="preserve">LA LIGUA </t>
  </si>
  <si>
    <t xml:space="preserve">SANTA CRUZ  </t>
  </si>
  <si>
    <t xml:space="preserve">IQUIQUE  </t>
  </si>
  <si>
    <t xml:space="preserve">CHILLAN  </t>
  </si>
  <si>
    <t xml:space="preserve">VICTORIA </t>
  </si>
  <si>
    <t xml:space="preserve">MULCHEN  </t>
  </si>
  <si>
    <t xml:space="preserve">PUCON </t>
  </si>
  <si>
    <t xml:space="preserve">COQUIMBO </t>
  </si>
  <si>
    <t xml:space="preserve">TALCA </t>
  </si>
  <si>
    <t xml:space="preserve">VALPARAISO  </t>
  </si>
  <si>
    <t xml:space="preserve">VALLENAR </t>
  </si>
  <si>
    <t>Ped_anterior</t>
  </si>
  <si>
    <t>% Despacho</t>
  </si>
  <si>
    <t>Meta Cole-38</t>
  </si>
  <si>
    <t>OLGA OLIVIA POBLETE CONCHA</t>
  </si>
  <si>
    <t xml:space="preserve">JESSICA ARAYA CEPEDA </t>
  </si>
  <si>
    <t>CAROLINA DELGADO ROMERO</t>
  </si>
  <si>
    <t xml:space="preserve">WILFREDO ROJAS QUILODR  </t>
  </si>
  <si>
    <t xml:space="preserve">NOLBERTO AVILA CORTES  </t>
  </si>
  <si>
    <t xml:space="preserve">COMERCIAL Q&amp;MPUERTO VARAS </t>
  </si>
  <si>
    <t xml:space="preserve">SOCIEDAD COMERCIAL OLGA BOUTIQUE LTDA </t>
  </si>
  <si>
    <t xml:space="preserve">SOCIEDAD COMERCIAL C'MUA LTDA  </t>
  </si>
  <si>
    <t xml:space="preserve">TIENDAS ALFREDO NAZAL EIRL  </t>
  </si>
  <si>
    <t xml:space="preserve">GRANDES TIENDAS CASA BROWN SPA  </t>
  </si>
  <si>
    <t xml:space="preserve">COOPELAN COMERCIAL S.A </t>
  </si>
  <si>
    <t xml:space="preserve">COMERCIAL Y SERVICIOS WOLLERMANN SPA  </t>
  </si>
  <si>
    <t>COMERCIAL ECCSA S.A.</t>
  </si>
  <si>
    <t xml:space="preserve">EMILIO HANANIAS E HIJO  </t>
  </si>
  <si>
    <t xml:space="preserve">KARINA LISETT GUHISELLINI CABALERI </t>
  </si>
  <si>
    <t>LUZMENIA MALDONADO</t>
  </si>
  <si>
    <t>CECILIA ROJO E.I.R.L</t>
  </si>
  <si>
    <t>RUT2</t>
  </si>
  <si>
    <t xml:space="preserve"> 8780898K</t>
  </si>
  <si>
    <t xml:space="preserve"> 9434963K</t>
  </si>
  <si>
    <t>10879819K</t>
  </si>
  <si>
    <t>12838491K</t>
  </si>
  <si>
    <t>16065905K</t>
  </si>
  <si>
    <t>52004390K</t>
  </si>
  <si>
    <t>70002640K</t>
  </si>
  <si>
    <t>77326810K</t>
  </si>
  <si>
    <t>78840090K</t>
  </si>
  <si>
    <t>96866770K</t>
  </si>
  <si>
    <t>77226836K</t>
  </si>
  <si>
    <t>13411102K</t>
  </si>
  <si>
    <t>77206618K</t>
  </si>
  <si>
    <t xml:space="preserve"> 4070003K</t>
  </si>
  <si>
    <t>5178314K</t>
  </si>
  <si>
    <t>8191 5091</t>
  </si>
  <si>
    <t>81201000K</t>
  </si>
  <si>
    <t>5.001.562-9</t>
  </si>
  <si>
    <t>77.091.357-8</t>
  </si>
  <si>
    <t>4.070.003-K</t>
  </si>
  <si>
    <t>9.804.121-4</t>
  </si>
  <si>
    <t>9.684.131-0</t>
  </si>
  <si>
    <t>9.434.963-K</t>
  </si>
  <si>
    <t>4.878.758-4</t>
  </si>
  <si>
    <t>5.384.900-8</t>
  </si>
  <si>
    <t>5.913.365-9</t>
  </si>
  <si>
    <t>6.031.123-4</t>
  </si>
  <si>
    <t>6.331.910-4</t>
  </si>
  <si>
    <t>6.589.904-3</t>
  </si>
  <si>
    <t>6.775.324-0</t>
  </si>
  <si>
    <t>6.799.967-3</t>
  </si>
  <si>
    <t>7.096.837-1</t>
  </si>
  <si>
    <t>7.562.033-0</t>
  </si>
  <si>
    <t>7.634.829-4</t>
  </si>
  <si>
    <t>7.675.412-8</t>
  </si>
  <si>
    <t>8.259.662-3</t>
  </si>
  <si>
    <t>8.611.778-9</t>
  </si>
  <si>
    <t>8.659.812-4</t>
  </si>
  <si>
    <t>8.673.204-1</t>
  </si>
  <si>
    <t>8.780.898-K</t>
  </si>
  <si>
    <t>8.837.310-3</t>
  </si>
  <si>
    <t>8.875.220-1</t>
  </si>
  <si>
    <t>8.990.492-7</t>
  </si>
  <si>
    <t>9.016.604-2</t>
  </si>
  <si>
    <t>9.276.152-5</t>
  </si>
  <si>
    <t>9.305.252-8</t>
  </si>
  <si>
    <t>ORDEN DE COMPRA</t>
  </si>
  <si>
    <t>VENTA SUGERIDA</t>
  </si>
  <si>
    <t>PEDIDO REALIZADO</t>
  </si>
  <si>
    <t>DESPACHO</t>
  </si>
  <si>
    <t>SALDO</t>
  </si>
  <si>
    <t>prendas</t>
  </si>
  <si>
    <t>CANTIDAD TOTAL DE ARTICULOS</t>
  </si>
  <si>
    <t>COLE. ANTERIOR</t>
  </si>
  <si>
    <t>NOTA DE PEDIDO</t>
  </si>
  <si>
    <t xml:space="preserve">Imprentado biodesgastado </t>
  </si>
  <si>
    <t>Bolsillo delantero, costura ancha, Imprentado ox.</t>
  </si>
  <si>
    <t>Pretina ancha c/doble botón, focalizado oxidado</t>
  </si>
  <si>
    <t xml:space="preserve">Smart Denim roturas delanteras </t>
  </si>
  <si>
    <t>Marengo gravillado 2 pasadores, pinza lateral</t>
  </si>
  <si>
    <t>PRECIO</t>
  </si>
  <si>
    <t>DESCRIPCIÓN</t>
  </si>
  <si>
    <t>Marengo con roturas láser</t>
  </si>
  <si>
    <t>3882-01</t>
  </si>
  <si>
    <t>Negro 2 pasadores, pinza lateral</t>
  </si>
  <si>
    <t>3882-00</t>
  </si>
  <si>
    <t>Clásico gris gravillado, bolsillos traseros curvos</t>
  </si>
  <si>
    <t>Clásico azúl bols. tras. ovalados c/repaso costura</t>
  </si>
  <si>
    <t>3865-00</t>
  </si>
  <si>
    <t>3865-01</t>
  </si>
  <si>
    <t>3878-00</t>
  </si>
  <si>
    <t>3878-01</t>
  </si>
  <si>
    <t>3919-00</t>
  </si>
  <si>
    <t>3919-01</t>
  </si>
  <si>
    <t>3950-00</t>
  </si>
  <si>
    <t>3950-01</t>
  </si>
  <si>
    <t>3950-02</t>
  </si>
  <si>
    <t>3954-00</t>
  </si>
  <si>
    <t>3954-01</t>
  </si>
  <si>
    <t>3954-02</t>
  </si>
  <si>
    <t>3958-00</t>
  </si>
  <si>
    <t>3958-01</t>
  </si>
  <si>
    <t>3960-00</t>
  </si>
  <si>
    <t>3960-01</t>
  </si>
  <si>
    <t>3966-00</t>
  </si>
  <si>
    <t>3969-00</t>
  </si>
  <si>
    <t>3969-01</t>
  </si>
  <si>
    <t>3970-00</t>
  </si>
  <si>
    <t>3971-00</t>
  </si>
  <si>
    <t>3971-01</t>
  </si>
  <si>
    <t>Basta deflecada</t>
  </si>
  <si>
    <t>Smart Denim azul oscuro</t>
  </si>
  <si>
    <t>Smart Denim lavado claro</t>
  </si>
  <si>
    <t>Bordado</t>
  </si>
  <si>
    <t>Smart denim bolsillos redondos</t>
  </si>
  <si>
    <t>Bolsillo con tapeta sobre pretina</t>
  </si>
  <si>
    <t>Detalle pierna + bolsillos rectos</t>
  </si>
  <si>
    <t>Detalles en boca de bolsillos</t>
  </si>
  <si>
    <t>Smart denim bordado</t>
  </si>
  <si>
    <t>Cinturón de tela + tajalí</t>
  </si>
  <si>
    <t>Bolsillos costuras 1/8</t>
  </si>
  <si>
    <t>Bolsillos carpinteros y cinturón</t>
  </si>
  <si>
    <t>Relojeros de tope+2 tonos de hilo</t>
  </si>
  <si>
    <t>Relojeros de tope + bordados</t>
  </si>
  <si>
    <t>Cargo + bolsillos parche (argentino)</t>
  </si>
  <si>
    <t>Aplicaciones lumen</t>
  </si>
  <si>
    <t>Bolsillos con tapeta</t>
  </si>
  <si>
    <t>Push in Push up + bordados</t>
  </si>
  <si>
    <t>Pliegue en bolsillos y relojero</t>
  </si>
  <si>
    <t>Clásico Push in Push up</t>
  </si>
  <si>
    <t>Eco Cuero Negro</t>
  </si>
  <si>
    <t>Eco Cuero Café</t>
  </si>
  <si>
    <t>Clásico 2 tonos de hilo</t>
  </si>
  <si>
    <t>Relojeros de tope</t>
  </si>
  <si>
    <t>Leopardo oscuro</t>
  </si>
  <si>
    <t>Tabaco</t>
  </si>
  <si>
    <t>Vino</t>
  </si>
  <si>
    <t>Leopardo claro</t>
  </si>
  <si>
    <t>Cebra</t>
  </si>
  <si>
    <t>Vaca verde oliva</t>
  </si>
  <si>
    <t>Vaca</t>
  </si>
  <si>
    <t>Gris focalizado</t>
  </si>
  <si>
    <t>Cadera</t>
  </si>
  <si>
    <t xml:space="preserve">Jean clásico </t>
  </si>
  <si>
    <t>Push in Push up azul oscuro</t>
  </si>
  <si>
    <t>Push in Push up lavado claro</t>
  </si>
  <si>
    <t>Cinturón de tela + tajalí+glitter</t>
  </si>
  <si>
    <t>Glitter azul</t>
  </si>
  <si>
    <t>Glitter negro</t>
  </si>
  <si>
    <t>Palazo</t>
  </si>
  <si>
    <t>4036-90</t>
  </si>
  <si>
    <t>4063-00</t>
  </si>
  <si>
    <t>4063-02</t>
  </si>
  <si>
    <t>4002-00</t>
  </si>
  <si>
    <t>4002-03</t>
  </si>
  <si>
    <t>Wide leg</t>
  </si>
  <si>
    <t>4007-90</t>
  </si>
  <si>
    <t>4015-90</t>
  </si>
  <si>
    <t>4062-00</t>
  </si>
  <si>
    <t>4062-09</t>
  </si>
  <si>
    <t>4017-00</t>
  </si>
  <si>
    <t>4017-03</t>
  </si>
  <si>
    <t>4021-90</t>
  </si>
  <si>
    <t xml:space="preserve">Blanco Clasico </t>
  </si>
  <si>
    <t xml:space="preserve">Blanco clasico </t>
  </si>
  <si>
    <t>Negro  Pinza Lateral Bols. Tras. M</t>
  </si>
  <si>
    <t>4059-00</t>
  </si>
  <si>
    <t>GRIS Bols. Argentino Pinzas Largas</t>
  </si>
  <si>
    <t>4011-01</t>
  </si>
  <si>
    <t>NEGRO  Bols. Argentino Pinzas Largas</t>
  </si>
  <si>
    <t>Bio Celeste Push in Push Up Bordado M</t>
  </si>
  <si>
    <t>Bio Celeste Bols. Traseros M</t>
  </si>
  <si>
    <t xml:space="preserve">Gravillado Pretina Cruzada </t>
  </si>
  <si>
    <t>BIO Celeste Relojero Destr. Bol. Ovalados</t>
  </si>
  <si>
    <t>Bio Celeste Vista Diagonal Costura Bols</t>
  </si>
  <si>
    <t>Bio medio Pinza Lateral Bordado M</t>
  </si>
  <si>
    <t>Bio Medio Doble Relojero 1 Con Cierre</t>
  </si>
  <si>
    <t xml:space="preserve"> Celeste Pretina Manual </t>
  </si>
  <si>
    <t>4002-01</t>
  </si>
  <si>
    <t>Bio Medio Pretina Manual</t>
  </si>
  <si>
    <t>BIO medio Azul   Push in Push Up Bol Bor</t>
  </si>
  <si>
    <t>4004-00</t>
  </si>
  <si>
    <t>4004-01</t>
  </si>
  <si>
    <t>Bio Oscuro Sin Pinzas Traseras</t>
  </si>
  <si>
    <t>Bio Medio Sin Pinzas Traseras</t>
  </si>
  <si>
    <t>bio medio Push in Push Up Doble Relojero</t>
  </si>
  <si>
    <t>4015-01</t>
  </si>
  <si>
    <t>4015-00</t>
  </si>
  <si>
    <t xml:space="preserve">Bio Medio  Pretina Cruzada </t>
  </si>
  <si>
    <t>4012-01</t>
  </si>
  <si>
    <t>Gravillado Celeste Doble Relojero ojal Sin basta</t>
  </si>
  <si>
    <t>Gravillado Celeste con Bols. Delanteros</t>
  </si>
  <si>
    <t>Glitter  Pretina Cruzada Gravillado</t>
  </si>
  <si>
    <t>Negro Push in Pinza Lateral Bols. Corte M</t>
  </si>
  <si>
    <t>Gris focalizado Tenue Doble Pasador tras</t>
  </si>
  <si>
    <t>Negro Bols. Tras. Ovalados Doble Pasador tras</t>
  </si>
  <si>
    <t>Bio Medio Doble Relojero Bol. Tras Corte</t>
  </si>
  <si>
    <t xml:space="preserve">Bio Oscuro Tajali sin Basta </t>
  </si>
  <si>
    <t xml:space="preserve">Bio Medio Foca. Pretina Manual 3 Costuras </t>
  </si>
  <si>
    <t>4027-01</t>
  </si>
  <si>
    <t>Azul Oscuro Bol. Delanteros 3 Costuras</t>
  </si>
  <si>
    <t>Bio Medio  Bol. Delanteros 3 Costuras</t>
  </si>
  <si>
    <t xml:space="preserve">Gris Cargo Bols.4  Con Fuelle </t>
  </si>
  <si>
    <t xml:space="preserve">Celeste Cargo 4 Bols. Con Fuelle </t>
  </si>
  <si>
    <t>Gravilado Azul 2 Reloj  con Alforzas Bol Traseros</t>
  </si>
  <si>
    <t xml:space="preserve">Celeste Corte lateral con Bol delanteros Retencion </t>
  </si>
  <si>
    <t>Gris Pinza Lateral Bols delant. Destroyed</t>
  </si>
  <si>
    <t>Bio celeste Bols Delantero Pinza lateral</t>
  </si>
  <si>
    <t xml:space="preserve">Bio Oscuro  Bols.Delante 1 Pinza Trasera </t>
  </si>
  <si>
    <t>Bio Celeste Bolsillos grandes Destroyed</t>
  </si>
  <si>
    <t>Bio Celeste 1 Pinza  Roturas en Bols Trase</t>
  </si>
  <si>
    <t>4064-01</t>
  </si>
  <si>
    <t>4027-00</t>
  </si>
  <si>
    <t>Gravillado Azul  Con Tela Añadida Azul</t>
  </si>
  <si>
    <t>Bio Celeste con Tela Añadida Azul</t>
  </si>
  <si>
    <t xml:space="preserve">Celeste </t>
  </si>
  <si>
    <t>Negro  Pinza Lateral Bols. Corte M</t>
  </si>
  <si>
    <t>4025-01</t>
  </si>
  <si>
    <t>4025-00</t>
  </si>
  <si>
    <t xml:space="preserve">Negro Cargo Bols.4  Con Fuelle </t>
  </si>
  <si>
    <t>Bio Medio Push In  Bols. Traseros Ovala</t>
  </si>
  <si>
    <t>GLITTER  Push in Push Up Bordado M</t>
  </si>
  <si>
    <t>Bio medio Smarth  Denim  Sin Basta</t>
  </si>
  <si>
    <t>WIDE LEG</t>
  </si>
  <si>
    <t>Bio Medio Pasador Doble SIN ROTURAS</t>
  </si>
  <si>
    <t>Bio Medio Pasador Doble Bols. Delat</t>
  </si>
  <si>
    <t>Celeste Bolsillos Traseros Carpinteros</t>
  </si>
  <si>
    <t>4056-01</t>
  </si>
  <si>
    <t>Gris Pnza Lateral Bols Corte M</t>
  </si>
  <si>
    <t>4060-06</t>
  </si>
  <si>
    <t>BEIGE Pasador delantero en  v</t>
  </si>
  <si>
    <t>4060-30</t>
  </si>
  <si>
    <t>Ostra  Pasador Delantero en V</t>
  </si>
  <si>
    <t>4056-00</t>
  </si>
  <si>
    <t>GLITTER Vista Diagonal Costura Bols</t>
  </si>
  <si>
    <t>4059-01</t>
  </si>
  <si>
    <t>GRIS  Bols. Tras. Ovalados Doble Pasador tras</t>
  </si>
  <si>
    <t>4017-01</t>
  </si>
  <si>
    <t>Bio azul  2 Relojeros Bols. Trasero con Corte</t>
  </si>
  <si>
    <t>bio medio relojero largo 3 costuras Bol Ovala</t>
  </si>
  <si>
    <t>4070-38</t>
  </si>
  <si>
    <t xml:space="preserve">OSTRA  Pretina Desflecada </t>
  </si>
  <si>
    <t>4061-06</t>
  </si>
  <si>
    <t>4061-38</t>
  </si>
  <si>
    <t>4066-30</t>
  </si>
  <si>
    <t>4065-06</t>
  </si>
  <si>
    <t>4065-00</t>
  </si>
  <si>
    <t xml:space="preserve">BLANCO Pretina Desflecada </t>
  </si>
  <si>
    <t xml:space="preserve">BEIGE  Pretina Desflecada </t>
  </si>
  <si>
    <t>4065-38</t>
  </si>
  <si>
    <t xml:space="preserve">OSTRA Pretina Desflecada </t>
  </si>
  <si>
    <t>BEIGE Pretina Desflecada TACHAS</t>
  </si>
  <si>
    <t xml:space="preserve">Bio azul Doble Pasador  Del.  Bol. Ovalado </t>
  </si>
  <si>
    <t>4061-00</t>
  </si>
  <si>
    <t>4060-00</t>
  </si>
  <si>
    <t>BEIGE  Bolsillo Relojero 3 Pinzas</t>
  </si>
  <si>
    <t>BLANCO Bols. Relojero 3 Pinzas</t>
  </si>
  <si>
    <t xml:space="preserve">OSTRA  Bols. Relojero 3 Pinzas </t>
  </si>
  <si>
    <t xml:space="preserve">NEGRO  4 bols. Delanteros </t>
  </si>
  <si>
    <t>4063-01</t>
  </si>
  <si>
    <t>Gravillado  GRIS 4 Bols. Delantero</t>
  </si>
  <si>
    <t>NEGRO  focalizado Tenue Doble Pasador tras</t>
  </si>
  <si>
    <t>4011-00</t>
  </si>
  <si>
    <t>NEGRO   Bols. Argentino Pinzas Largas</t>
  </si>
  <si>
    <t xml:space="preserve">4011-01 </t>
  </si>
  <si>
    <t>4057-00</t>
  </si>
  <si>
    <t>4057-01</t>
  </si>
  <si>
    <t>MARENGO  Push in Pinza Lateral Bols. Corte M</t>
  </si>
  <si>
    <t xml:space="preserve">Flare </t>
  </si>
  <si>
    <t xml:space="preserve">NEGRO  TACHAS </t>
  </si>
  <si>
    <t>4029-00</t>
  </si>
  <si>
    <t>4029-01</t>
  </si>
  <si>
    <t>Bio Celeste 1 Pinza   SIN ROTURAS</t>
  </si>
  <si>
    <t>FLARE</t>
  </si>
  <si>
    <t>4036-00</t>
  </si>
  <si>
    <t xml:space="preserve">flare </t>
  </si>
  <si>
    <t>4067-60</t>
  </si>
  <si>
    <t>4065-60</t>
  </si>
  <si>
    <t>4066-60</t>
  </si>
  <si>
    <t>BIO MEDIO Destroyed  Basta TACHAS</t>
  </si>
  <si>
    <t>4062-06</t>
  </si>
  <si>
    <t xml:space="preserve">BEIGE </t>
  </si>
  <si>
    <t xml:space="preserve">CINTURA </t>
  </si>
  <si>
    <t>4062-38</t>
  </si>
  <si>
    <t xml:space="preserve">OSTRA </t>
  </si>
  <si>
    <t>CINTURA</t>
  </si>
  <si>
    <t>4021-00</t>
  </si>
  <si>
    <t xml:space="preserve">CELESTE  Foca. Pretina Manual 3 Costuras </t>
  </si>
  <si>
    <t>4023-00</t>
  </si>
  <si>
    <t>4023-90</t>
  </si>
  <si>
    <t>GLITTER</t>
  </si>
  <si>
    <t>4016-00</t>
  </si>
  <si>
    <t>4016-01</t>
  </si>
  <si>
    <t xml:space="preserve">BIO CELESTE SIN ROTURA </t>
  </si>
  <si>
    <t>4012-00</t>
  </si>
  <si>
    <t>CELESTE   Doble Relojero ojal Sin basta</t>
  </si>
  <si>
    <t>GRAVILLADO Celeste  Doble Relojero ojal Sin basta</t>
  </si>
  <si>
    <t>4007-00</t>
  </si>
  <si>
    <t>4071-00</t>
  </si>
  <si>
    <t>NEGRO Vestido</t>
  </si>
  <si>
    <t>VESTIDO</t>
  </si>
  <si>
    <t>CASACON</t>
  </si>
  <si>
    <t>4071-01</t>
  </si>
  <si>
    <t>GRIS GRAVILLADO</t>
  </si>
  <si>
    <t>CASACA NEGRA</t>
  </si>
  <si>
    <t xml:space="preserve">CASACA  BLANCA </t>
  </si>
  <si>
    <t>4073-01</t>
  </si>
  <si>
    <t>4073-00</t>
  </si>
  <si>
    <t xml:space="preserve">BLASER GRIS </t>
  </si>
  <si>
    <t>BLASER NEGRO</t>
  </si>
  <si>
    <t>4072-01</t>
  </si>
  <si>
    <t>4072-00</t>
  </si>
  <si>
    <t>CASACA OVER SIDE</t>
  </si>
  <si>
    <t>OXIDADO</t>
  </si>
  <si>
    <t>CELESTE DOBLE RELOJERO BOLS. TRAS.  M</t>
  </si>
  <si>
    <t>OXFORD</t>
  </si>
  <si>
    <t>MEDIO</t>
  </si>
  <si>
    <t>BOLSILLOS DELANTEROS PARCHES Bol. CUADRADOS</t>
  </si>
  <si>
    <t>PALAZZO</t>
  </si>
  <si>
    <t>TODILLERO</t>
  </si>
  <si>
    <t xml:space="preserve">CELESTE BOLS. DESFLECADOS </t>
  </si>
  <si>
    <t>PITILLO</t>
  </si>
  <si>
    <t xml:space="preserve">PASADORES GRANDES </t>
  </si>
  <si>
    <t xml:space="preserve">BIO CELESTE   BOLSILLOS TRAS M </t>
  </si>
  <si>
    <t>TOBILLERO</t>
  </si>
  <si>
    <t>4148-06</t>
  </si>
  <si>
    <t>NEGRO</t>
  </si>
  <si>
    <t>RECTO</t>
  </si>
  <si>
    <t xml:space="preserve">CON TACHAS   CONTES EN BASTA </t>
  </si>
  <si>
    <t>4169-01</t>
  </si>
  <si>
    <t xml:space="preserve">MARENGO </t>
  </si>
  <si>
    <t>4170-01</t>
  </si>
  <si>
    <t xml:space="preserve">GRABILLADO GRIS </t>
  </si>
  <si>
    <t xml:space="preserve">NEGRO 5 BOTONES </t>
  </si>
  <si>
    <t>4157-00</t>
  </si>
  <si>
    <t>AZUL CON CORTES</t>
  </si>
  <si>
    <t>CELESTE CORTES</t>
  </si>
  <si>
    <t>4124-01</t>
  </si>
  <si>
    <t>DESFLECADO  BOLSILLOS COLOR 4157</t>
  </si>
  <si>
    <t xml:space="preserve">CADERA </t>
  </si>
  <si>
    <t>4135-60</t>
  </si>
  <si>
    <t xml:space="preserve">CAMISA </t>
  </si>
  <si>
    <t>CELESTE</t>
  </si>
  <si>
    <t>M/LARGA</t>
  </si>
  <si>
    <t xml:space="preserve">GUILETTE  </t>
  </si>
  <si>
    <t xml:space="preserve">SIN </t>
  </si>
  <si>
    <t>MANGA</t>
  </si>
  <si>
    <t xml:space="preserve">GUILETTE CON CIERRE </t>
  </si>
  <si>
    <t xml:space="preserve">FALDA CON CORTES </t>
  </si>
  <si>
    <t>4180-60</t>
  </si>
  <si>
    <t>SHORT</t>
  </si>
  <si>
    <t xml:space="preserve">MINI FALDA  MARENGO </t>
  </si>
  <si>
    <t>CARGO</t>
  </si>
  <si>
    <t>FALADA SHORT CRUZADA</t>
  </si>
  <si>
    <t>4171-00</t>
  </si>
  <si>
    <t>4148-60</t>
  </si>
  <si>
    <t xml:space="preserve">BLANCO ESTRELLAS TACHAS </t>
  </si>
  <si>
    <t>4149-60</t>
  </si>
  <si>
    <t>TACHAS</t>
  </si>
  <si>
    <t>BLANCO CON LUNA EN VISTAS</t>
  </si>
  <si>
    <t>CLASICO BEIGE</t>
  </si>
  <si>
    <t>BIO CELESTE RELOJERO EN PRETINA ETIQUETA ROJA</t>
  </si>
  <si>
    <t>4135-61</t>
  </si>
  <si>
    <t>CON TACHAS   COLOR OSCURO   4157</t>
  </si>
  <si>
    <t xml:space="preserve"> FALDA BLACO MINI CARGO</t>
  </si>
  <si>
    <t>4142-61</t>
  </si>
  <si>
    <t xml:space="preserve">BIO CELESTE FOC. BOL.TRAS.OVALADOS </t>
  </si>
  <si>
    <t>palazzo</t>
  </si>
  <si>
    <t>jeans  oxford5 bolsillos</t>
  </si>
  <si>
    <t>flare</t>
  </si>
  <si>
    <t>jeans  botonera delantero</t>
  </si>
  <si>
    <t>jeans  bolsillo tarsero M</t>
  </si>
  <si>
    <t>JEANS FLECOS EN BOLSILLOS</t>
  </si>
  <si>
    <t>medio</t>
  </si>
  <si>
    <t>tobillero</t>
  </si>
  <si>
    <t>JEANS 5 BOLSIILO , BOLSILLO TRSERO CURVO</t>
  </si>
  <si>
    <t>4170-00</t>
  </si>
  <si>
    <t>PUSH IN PUSH UP</t>
  </si>
  <si>
    <t>4169-00</t>
  </si>
  <si>
    <t>JEANS  PITILLO 5 BOLSILLOS</t>
  </si>
  <si>
    <t>4148-00</t>
  </si>
  <si>
    <t>4147-60</t>
  </si>
  <si>
    <t>JEANS RELOJERO EN PRETINA</t>
  </si>
  <si>
    <t>JEANS RELOJERO TOPE</t>
  </si>
  <si>
    <t>FALDA SHORT</t>
  </si>
  <si>
    <t>4148-38</t>
  </si>
  <si>
    <t>JEANS 5 BOLSILLO</t>
  </si>
  <si>
    <t>JEANS 5 BOLSILLOS DETALLE EN VISTA</t>
  </si>
  <si>
    <t>CINTIURA</t>
  </si>
  <si>
    <t>JEANS PASADOR ANCHO</t>
  </si>
  <si>
    <t>JEANS 5 BOLSILLOS  BASICO</t>
  </si>
  <si>
    <t>NEGRO   PUSH IN PUSH UP</t>
  </si>
  <si>
    <t>Celeste     Estrella</t>
  </si>
  <si>
    <t xml:space="preserve"> bolsillo delantero</t>
  </si>
  <si>
    <t>4157-01</t>
  </si>
  <si>
    <t>CELESTE CON  FOC  CON PASADOR BOL. TRASERO</t>
  </si>
  <si>
    <t>RELOJERO LATERAL BOLS. TRASEROS OVALADOS CON CORTES</t>
  </si>
  <si>
    <t xml:space="preserve">CELESTE CON CORTES EN BASTA </t>
  </si>
  <si>
    <t>4135-01</t>
  </si>
  <si>
    <t>BIO MEDIO AZUL   CONTES EN BASTA COLOR (  4157 )</t>
  </si>
  <si>
    <t xml:space="preserve">BIO CELESTE  1  RELOJERO  BOLSILLOS TRAS. OVALADOS </t>
  </si>
  <si>
    <t>APLICACIÓN EN LA CINTURA CON PASADOR LARGO 3 COSTURAS</t>
  </si>
  <si>
    <t>CELESTE CON  FOC DOBLE PASADOR DELANTERO PUSH IN PUSH UP</t>
  </si>
  <si>
    <t>CELESTE  FLECOS EN BOLSILLOS</t>
  </si>
  <si>
    <t>4124-00</t>
  </si>
  <si>
    <t>CELESTE FOCAL. CON PASADOR DEL DELANTERO A BOL. TRASERO</t>
  </si>
  <si>
    <t xml:space="preserve">OXFORD </t>
  </si>
  <si>
    <t>CELESTE  CORTE BOLSILO TRASERO</t>
  </si>
  <si>
    <t>4155-00</t>
  </si>
  <si>
    <t>4155-01</t>
  </si>
  <si>
    <t>BIO MEDIO CORTE BOLSILO TRASERO</t>
  </si>
  <si>
    <t>4201-60</t>
  </si>
  <si>
    <t>4210-01</t>
  </si>
  <si>
    <t>4218-00</t>
  </si>
  <si>
    <t>4218-01</t>
  </si>
  <si>
    <t>4211-01</t>
  </si>
  <si>
    <t>4205-01</t>
  </si>
  <si>
    <t>4204-00</t>
  </si>
  <si>
    <t>4125-00</t>
  </si>
  <si>
    <t xml:space="preserve">NEGRO FOCALIZADO  PUSH IN PUSH UP </t>
  </si>
  <si>
    <t>3834-60</t>
  </si>
  <si>
    <t>GRIS CON TACHAS</t>
  </si>
  <si>
    <t>4221-90</t>
  </si>
  <si>
    <t>4209-00</t>
  </si>
  <si>
    <t>OTOÑO INVIERNO 2026</t>
  </si>
  <si>
    <t>60 - 90 DIAS</t>
  </si>
  <si>
    <t>60-90 DIAS</t>
  </si>
  <si>
    <t>30-60 DIAS</t>
  </si>
  <si>
    <t>42  OTOÑO INVIERNO</t>
  </si>
  <si>
    <t>4214-60</t>
  </si>
  <si>
    <t>4214-00</t>
  </si>
  <si>
    <t>4202-00</t>
  </si>
  <si>
    <t>4234-48</t>
  </si>
  <si>
    <t>4257-08</t>
  </si>
  <si>
    <t>4257-09</t>
  </si>
  <si>
    <t>4257-48</t>
  </si>
  <si>
    <t>4203-01</t>
  </si>
  <si>
    <t>4219-02</t>
  </si>
  <si>
    <t>4248-01</t>
  </si>
  <si>
    <t>4234-09</t>
  </si>
  <si>
    <t>4234-16</t>
  </si>
  <si>
    <t>4234-08</t>
  </si>
  <si>
    <t>4257-16</t>
  </si>
  <si>
    <t>4233-08</t>
  </si>
  <si>
    <t>4233-09</t>
  </si>
  <si>
    <t>4233-16</t>
  </si>
  <si>
    <t>4233-48</t>
  </si>
  <si>
    <t>4204-02</t>
  </si>
  <si>
    <t>4211-00</t>
  </si>
  <si>
    <t>4205-00</t>
  </si>
  <si>
    <t>4213-01</t>
  </si>
  <si>
    <t>2 RELOJERO 3 PINZA TRSERO BOLSIMO M CORTE PASADOR V</t>
  </si>
  <si>
    <t>4201-01</t>
  </si>
  <si>
    <t>4201-00</t>
  </si>
  <si>
    <t>4203-00</t>
  </si>
  <si>
    <t xml:space="preserve">MEDIO </t>
  </si>
  <si>
    <t>4204-01</t>
  </si>
  <si>
    <t>4206-00</t>
  </si>
  <si>
    <t>4208-00</t>
  </si>
  <si>
    <t>4210-00</t>
  </si>
  <si>
    <t>4213-00</t>
  </si>
  <si>
    <t>4214-01</t>
  </si>
  <si>
    <t>4214-02</t>
  </si>
  <si>
    <t>4216-00</t>
  </si>
  <si>
    <t>4217-00</t>
  </si>
  <si>
    <t>4219-01</t>
  </si>
  <si>
    <t>4220-00</t>
  </si>
  <si>
    <t>4221-00</t>
  </si>
  <si>
    <t>4221-01</t>
  </si>
  <si>
    <t>4222-00</t>
  </si>
  <si>
    <t>4224-00</t>
  </si>
  <si>
    <t>4224-01</t>
  </si>
  <si>
    <t>4227-00</t>
  </si>
  <si>
    <t>RECTO TOBI</t>
  </si>
  <si>
    <t>4227-01</t>
  </si>
  <si>
    <t>4233-04</t>
  </si>
  <si>
    <t>4234-04</t>
  </si>
  <si>
    <t>4235-00</t>
  </si>
  <si>
    <t>4236-00</t>
  </si>
  <si>
    <t>4238-00</t>
  </si>
  <si>
    <t>4239-00</t>
  </si>
  <si>
    <t>4240-00</t>
  </si>
  <si>
    <t>4242-00</t>
  </si>
  <si>
    <t>4243-00</t>
  </si>
  <si>
    <t>4244-00</t>
  </si>
  <si>
    <t>4245-00</t>
  </si>
  <si>
    <t>4246-00</t>
  </si>
  <si>
    <t>4247-00</t>
  </si>
  <si>
    <t>4248-00</t>
  </si>
  <si>
    <t>4249-00</t>
  </si>
  <si>
    <t>4249-60</t>
  </si>
  <si>
    <t>4250-00</t>
  </si>
  <si>
    <t>4251-60</t>
  </si>
  <si>
    <t>BIOOSCURO FOCALIZADO 2 RELOJ ANCHO BOLS TRASERO CORTE 3 PINZA TRASERO</t>
  </si>
  <si>
    <t>BIOOSCURO FOCALIZADO 2 RELOJ ANCHO BOLS TRASERO CORTE 3 PINZA TRAS TACHAS 12PLANAS</t>
  </si>
  <si>
    <t>BLUE BLACK  FOCALIZADO SIN TACHAS</t>
  </si>
  <si>
    <t>BIO OSCURO FOCALIZADO2 RELOJ ANCHO  3 COSTURA ALTURA</t>
  </si>
  <si>
    <t xml:space="preserve">NEGRO   CLASICO  NEGRO 3 PINZAS </t>
  </si>
  <si>
    <t>GRIS  FOCALIZADO  BOLS ARGENTINO ELASTICO PRETINA 2 PINZAS</t>
  </si>
  <si>
    <t>BIO OSCURO  FOCALIZADOSMART DENIM 2 PINZA TRASERO COSTADO</t>
  </si>
  <si>
    <t>GRAVILLADO FOCALIZADOSMART DENIM 2 PINZA TRASERO COSTADO</t>
  </si>
  <si>
    <t>NEGRO1 RELOJERO APLICACIÓN ECO CUERO PRETINA 3PINZA TRASERO</t>
  </si>
  <si>
    <t xml:space="preserve">  NEGRO    RELOJERO OJAL APLICACIÓN ECO CUERO DEL/TRAS</t>
  </si>
  <si>
    <t>BIO MEDIO FOCALIZADO  TENUE 4 BOTONES   PINZA TRASEROS 2 COSTADO</t>
  </si>
  <si>
    <t>GRAVILLADO FOCALIZADO  4 BOTONES PINZA TRASEROS 2 COSTADO</t>
  </si>
  <si>
    <t>BIO OSCURO FOCALIZADOAZUL SUAVISADO SIN PRETINA  PRETINA  BOLSILLO ARGENTINA</t>
  </si>
  <si>
    <t>GRAVILLADO BIO MEDIO  PRETINA SIN PRETINA   BOLSILLO ARGENTINA</t>
  </si>
  <si>
    <t xml:space="preserve">NEGROCORTE  DELANTERO  3 PINZAS TRASERAS </t>
  </si>
  <si>
    <t xml:space="preserve">NEGRO FOCALIZADO    CORTE  DELANTERO  3 PINZAS TRASERAS </t>
  </si>
  <si>
    <t>MARENGO FOCALIZADOCORTE  DELANTERO  3 PINZAS TRASERAS  TACHAS PRETINA</t>
  </si>
  <si>
    <t>NEGRO  PARCHE DELANTERO</t>
  </si>
  <si>
    <t>BIO OSCURO FOCALIZADO 2 RELOJERO 3 PINZA TRSERO BOLSILLOS M CORTE PASADOR V</t>
  </si>
  <si>
    <t>GRAVILLADO  BIO 3 PINZA TRSERO BOLSIMO M CORTE PASADOR V</t>
  </si>
  <si>
    <t>BIOMEDIO FOCALIZADOFLECOS BOLS DELANT Y TRASEROS 2 PINZAS TRASERO</t>
  </si>
  <si>
    <t>BIOMEDO OXIDADO  FLECOS BOLS DELANT Y TRASEROS 2 PINZAS TRASERO</t>
  </si>
  <si>
    <t>BIO MEDIOFOCALIZADO OXIDOCORTE  BOSILLO DELANTERO BOLSILLO TRAS CORTE  ALTURA 3 PINZAS</t>
  </si>
  <si>
    <t>BIOOSCURO FOCALIZADO PRETINA CRUZADA   3 PINZA TRASERO</t>
  </si>
  <si>
    <t>BIO MEDIO FOCALIZADOPRETINA CRUZADA  3 PINZA TRASERO</t>
  </si>
  <si>
    <t>BIO OSCURO GLITTERPRETINA CRUZADA  3 PINZA TRASERO</t>
  </si>
  <si>
    <t>BIOMEDIO   FOCALIZADO LASER  PASADOR BOLS TRAS/DELANTERO 3 COSTURA ALTURA</t>
  </si>
  <si>
    <t>NEGRO   ECO CUERO TAPETA FORMA</t>
  </si>
  <si>
    <t xml:space="preserve"> NEGRO  3 PINZATRSERO BOLSILLO TRAS  RELOJ CORTE M PUSHIN PUSH UP</t>
  </si>
  <si>
    <t>BLUE BLACK FOCALIZADO  2 RELOJERO  ANCHO BOLS TRASERO  PINZA+CORTE ALTURA 3 PINZAS</t>
  </si>
  <si>
    <t xml:space="preserve">AZUL INDUSTRIAL   DOBLE RELOJERO  2 TONOS DE HILOS </t>
  </si>
  <si>
    <t xml:space="preserve">BIOMEDIO FOCALIZADODOBLE RELOJERO  2 TONOS DE HILOS </t>
  </si>
  <si>
    <t xml:space="preserve">  NEGRO     PRETINA ECO CUERO</t>
  </si>
  <si>
    <t>BIOSCURO  1 RELOJ 3 PINZA TRASERO PUSH IN PUSH UP</t>
  </si>
  <si>
    <t>BIOMEDIO FOCALIZADO  BOLSILLOS DELANTEROS    ALTURA EN FORMA 2AGUJAS</t>
  </si>
  <si>
    <t>BIO OSCURO  FOCALIZADO  FLECOS BOLS DELANT Y TRASEROS</t>
  </si>
  <si>
    <t>OCRE  RELOJERO EN PRETINA  Y PASADOR TRASERO   V</t>
  </si>
  <si>
    <t>VERDE MENTA  CLASICO 2 PINZAS TRASERAS</t>
  </si>
  <si>
    <t>VERDE OLIVA CLASICO 2 PINZAS TRAS</t>
  </si>
  <si>
    <t>BURDEO  CLASICO 2 PINZAS TRASERAS</t>
  </si>
  <si>
    <t xml:space="preserve">BIOOSCURO FOCABIGOTES 2 CIERRES EN VISTA DELANTERO 3 PINZA TRASERO DREMEL BOLSILLOS </t>
  </si>
  <si>
    <t>BIOMEDIO FOCALIZADO  2 RELOJERO PASADORES  ANCHO BOLS TRASCORTE</t>
  </si>
  <si>
    <t>MARENGO  FOCALIZADO ESTRELLAS   BOLSILLO SIN BOLSILLOS TRASEROS</t>
  </si>
  <si>
    <t>GRAVILLADO   GRIS  3 PINZATRSERO BOLSILLO TRAS  RELOJCORTE M PUSHIN PUSH UP</t>
  </si>
  <si>
    <t>NEGRO1 RELOJERO CORTE TRASERO 1 PINZAS  BOLSILLOS TRASEROS M CORTE</t>
  </si>
  <si>
    <t>MARENGO FOCALIZADO ESTRELLAS COSTADO</t>
  </si>
  <si>
    <t>BIO OSCURO  FOCALIZADO3 PINZAS COSTURA ALTURA BOLSILLO DELANTERO 3 COSTURAS</t>
  </si>
  <si>
    <t>BIOMEDIO FOCALIZADOPASADOR BOLS TRAS/DELANTERO 3 COSTURA ALTURA</t>
  </si>
  <si>
    <t>MEDIO FOCALIZADO   CORTE DELANTERO   PESPUNTE 2 PINZA TRASERO</t>
  </si>
  <si>
    <t>BIO MEDIO FOCALIZADO  BOLSILLOS TRASERO OVALADOS</t>
  </si>
  <si>
    <t>NEGRO     2 PINZA TRASERO  BOLSILLOS CUADRADOS  TRAS</t>
  </si>
  <si>
    <t>GRIS FOCALIZADO   2 PINZA TRASERO</t>
  </si>
  <si>
    <t>MARENGO FOLCALIZADO BOLSILLO BOLSA  DELANTERO</t>
  </si>
  <si>
    <t>MARENGO FOLCALIZADOTACHAS (18) REDONDA BOLSILLO B</t>
  </si>
  <si>
    <t>BIO OSCURO  CARGOTACHAS (10) PLANA NIQUEL GD BOL</t>
  </si>
  <si>
    <t>BIO OSCURO FOCALIZADO   2 RELOJERO ANCHO BOLS TRASEROS CON CORTE</t>
  </si>
  <si>
    <t>COD VEN</t>
  </si>
  <si>
    <t>CANTIDAD T:38</t>
  </si>
  <si>
    <t>VALOR T:38</t>
  </si>
  <si>
    <t>FACTURADO T:38</t>
  </si>
  <si>
    <t>VALOR FACT. T:38</t>
  </si>
  <si>
    <t xml:space="preserve">ROBERTO KOBUS PEMSO                               </t>
  </si>
  <si>
    <t xml:space="preserve">PATRICIO CUEVAS               </t>
  </si>
  <si>
    <t xml:space="preserve">ANCUD                         </t>
  </si>
  <si>
    <t xml:space="preserve">ANA MARIA MANFREDI CARRASCO                       </t>
  </si>
  <si>
    <t xml:space="preserve">HECTOR CAFFIERO VASQUEZ       </t>
  </si>
  <si>
    <t xml:space="preserve">OVALLE                        </t>
  </si>
  <si>
    <t xml:space="preserve">FABIOLA BENAVENTE MEZA                            </t>
  </si>
  <si>
    <t xml:space="preserve">CARLOS CUEVAS                 </t>
  </si>
  <si>
    <t xml:space="preserve">PARRAL                        </t>
  </si>
  <si>
    <t xml:space="preserve">NORA BARRAZA MILLA                                </t>
  </si>
  <si>
    <t xml:space="preserve">DIEGO DE ALMAGRO              </t>
  </si>
  <si>
    <t xml:space="preserve">LUIS SOUMASTRE RAMIREZ                            </t>
  </si>
  <si>
    <t xml:space="preserve">ARICA                         </t>
  </si>
  <si>
    <t xml:space="preserve">ANA MARIA SALVATIERRA TAPIA                       </t>
  </si>
  <si>
    <t xml:space="preserve">CABILDO                       </t>
  </si>
  <si>
    <t xml:space="preserve">GLORIA CECILIA OLIVARES TORRES                    </t>
  </si>
  <si>
    <t xml:space="preserve">CHAﾑARAL                      </t>
  </si>
  <si>
    <t xml:space="preserve">SERGIO HERNAN CERDA ESCOBAR                       </t>
  </si>
  <si>
    <t xml:space="preserve">LOS ANGELES                   </t>
  </si>
  <si>
    <t xml:space="preserve">ANA SAAVEDRA ORTIZ                                </t>
  </si>
  <si>
    <t xml:space="preserve">CAﾑETE                        </t>
  </si>
  <si>
    <t xml:space="preserve">NOLBERTO AVILA CORTES                             </t>
  </si>
  <si>
    <t xml:space="preserve">CAUQUENES                     </t>
  </si>
  <si>
    <t xml:space="preserve">CARLOS MELLA ALVARADO                             </t>
  </si>
  <si>
    <t xml:space="preserve">CASTRO                        </t>
  </si>
  <si>
    <t xml:space="preserve">CLARA VARGAS NATER                                </t>
  </si>
  <si>
    <t xml:space="preserve">ANGOL                         </t>
  </si>
  <si>
    <t xml:space="preserve">ROMAN JUAN CASTRO CAYO                            </t>
  </si>
  <si>
    <t>8780898K</t>
  </si>
  <si>
    <t xml:space="preserve">PATRICIA HAFON DESMOND                            </t>
  </si>
  <si>
    <t xml:space="preserve">TOCOPILLA                     </t>
  </si>
  <si>
    <t xml:space="preserve">CARMEN GLORIA GALLARDO VALERIO                    </t>
  </si>
  <si>
    <t xml:space="preserve">LA UNION                      </t>
  </si>
  <si>
    <t xml:space="preserve">SABINA QUISPE PAIRO                               </t>
  </si>
  <si>
    <t xml:space="preserve">ANA MARIA SANCHEZ LUENGO                          </t>
  </si>
  <si>
    <t xml:space="preserve">PUREN                         </t>
  </si>
  <si>
    <t xml:space="preserve">MIRNA PACHECO RABANAL                             </t>
  </si>
  <si>
    <t xml:space="preserve">CABRERO                       </t>
  </si>
  <si>
    <t xml:space="preserve">ELIANA VENTURELLI REGLA                           </t>
  </si>
  <si>
    <t xml:space="preserve">CAPITAN PASTENE               </t>
  </si>
  <si>
    <t xml:space="preserve">MARISOL DURAN NAVARRO                             </t>
  </si>
  <si>
    <t xml:space="preserve">MELIPILLA                     </t>
  </si>
  <si>
    <t xml:space="preserve">CELIA VASQUEZ BARRERA                             </t>
  </si>
  <si>
    <t xml:space="preserve">VILLARICA                     </t>
  </si>
  <si>
    <t xml:space="preserve">DANITZA OSSES AEDO                                </t>
  </si>
  <si>
    <t xml:space="preserve">TRAIGUEN                      </t>
  </si>
  <si>
    <t xml:space="preserve">BELLA FUENTES PINCHEIRA                           </t>
  </si>
  <si>
    <t xml:space="preserve">RICHARD CUEVAS                </t>
  </si>
  <si>
    <t xml:space="preserve">LINARES                       </t>
  </si>
  <si>
    <t xml:space="preserve">HUGO MONTERO FIGUEROA                             </t>
  </si>
  <si>
    <t xml:space="preserve">ARMANDO BARRIA LEGUE                              </t>
  </si>
  <si>
    <t xml:space="preserve">SERGIO KRAMARENCO             </t>
  </si>
  <si>
    <t xml:space="preserve">PUERTO NATALES                </t>
  </si>
  <si>
    <t xml:space="preserve">ISVELDA MELO ACEVEDO                              </t>
  </si>
  <si>
    <t xml:space="preserve">JESSICA ARAYA CEPEDA                              </t>
  </si>
  <si>
    <t xml:space="preserve">ANTOFAGASTA                   </t>
  </si>
  <si>
    <t xml:space="preserve">KAREN HUAMAN LOPEZ                                </t>
  </si>
  <si>
    <t xml:space="preserve">CARLA ALIAGA                                      </t>
  </si>
  <si>
    <t xml:space="preserve">VALLENAR                      </t>
  </si>
  <si>
    <t xml:space="preserve">PAOLA NAVARRO                                     </t>
  </si>
  <si>
    <t xml:space="preserve">GLORIA GALINDO PEREZ                              </t>
  </si>
  <si>
    <t xml:space="preserve">COYHAIQUE                     </t>
  </si>
  <si>
    <t xml:space="preserve">MONICA SANDOVAL NAVARRETE                         </t>
  </si>
  <si>
    <t xml:space="preserve">COLLIPULLI                    </t>
  </si>
  <si>
    <t xml:space="preserve">CECILIA RIVERA ROMERO                             </t>
  </si>
  <si>
    <t xml:space="preserve">TEMUCO                        </t>
  </si>
  <si>
    <t xml:space="preserve">CRISTIAN ALEJANDRO FUENTES FLORES                 </t>
  </si>
  <si>
    <t xml:space="preserve">RANCAGUA                      </t>
  </si>
  <si>
    <t xml:space="preserve">CAROLINA MIRANDA                                  </t>
  </si>
  <si>
    <t xml:space="preserve">SANTA CRUZ                    </t>
  </si>
  <si>
    <t xml:space="preserve">MARITZA TOSSO CATRICURA                           </t>
  </si>
  <si>
    <t xml:space="preserve">PANGUIPULLI                   </t>
  </si>
  <si>
    <t xml:space="preserve">PATRICIA CANALES OYARZUN                          </t>
  </si>
  <si>
    <t xml:space="preserve">PUNTA ARENAS                  </t>
  </si>
  <si>
    <t xml:space="preserve">KATERIN FRANCHESCA CASANGA SANTANA                </t>
  </si>
  <si>
    <t xml:space="preserve">CALAMA                        </t>
  </si>
  <si>
    <t xml:space="preserve">JETZABEL AGUIRRE ALVAREZ                          </t>
  </si>
  <si>
    <t xml:space="preserve">GABRIELA MANSILLA WUPPEELMANN                     </t>
  </si>
  <si>
    <t xml:space="preserve">WILFREDO ROJAS QUILODRAN EIRL                     </t>
  </si>
  <si>
    <t xml:space="preserve">SAN CARLOS                    </t>
  </si>
  <si>
    <t xml:space="preserve">COMERCIAL DIANCU LTDA.                            </t>
  </si>
  <si>
    <t xml:space="preserve">MARIA PILAR JEREZ Y CIA.LTDA.                     </t>
  </si>
  <si>
    <t xml:space="preserve">COMERCIAL Q &amp; M  LTDA                             </t>
  </si>
  <si>
    <t xml:space="preserve">SOCIEDAD COMERCIAL ARS LTDA.                      </t>
  </si>
  <si>
    <t xml:space="preserve">YUNGAY                        </t>
  </si>
  <si>
    <t xml:space="preserve">SOC.COM. DON JORGE LTDA                           </t>
  </si>
  <si>
    <t xml:space="preserve">INVERSIONES JULIAN S.A.                           </t>
  </si>
  <si>
    <t xml:space="preserve">RENGO                         </t>
  </si>
  <si>
    <t xml:space="preserve">SOC COM SAN MARTIN Y TORRES LTDA                  </t>
  </si>
  <si>
    <t xml:space="preserve">COMERCIAL JAVBIAN SPA                             </t>
  </si>
  <si>
    <t xml:space="preserve">PUERTO AYSEN                  </t>
  </si>
  <si>
    <t xml:space="preserve">GLADYS VALDIVIA PEREZ EIRL                        </t>
  </si>
  <si>
    <t xml:space="preserve">LA LIGUA                      </t>
  </si>
  <si>
    <t xml:space="preserve">SOC. COM. INOSTROZA GOMEZ LTDA.                   </t>
  </si>
  <si>
    <t xml:space="preserve">SOCIEDAD COMERCIAL C'MUA LIMITADA                 </t>
  </si>
  <si>
    <t xml:space="preserve">SOCIEDAD COMERCIAL MKD CLOTHING LIMITADA          </t>
  </si>
  <si>
    <t xml:space="preserve">SANTIAGO                      </t>
  </si>
  <si>
    <t xml:space="preserve">COMERCIAL NACE SPA                                </t>
  </si>
  <si>
    <t xml:space="preserve">COMERCIALIZADORA FACHAS Y CIA LTDA                </t>
  </si>
  <si>
    <t xml:space="preserve">MAGIC WORLD SPA                                   </t>
  </si>
  <si>
    <t xml:space="preserve">MAGIC KENNEDY                 </t>
  </si>
  <si>
    <t xml:space="preserve">CONFECCIONES ARAUCO EIRL                          </t>
  </si>
  <si>
    <t xml:space="preserve">ARAUCO                        </t>
  </si>
  <si>
    <t xml:space="preserve">ACAR BORDADOS  SPA                                </t>
  </si>
  <si>
    <t xml:space="preserve">TALCA                         </t>
  </si>
  <si>
    <t xml:space="preserve">COMERCIAL LE PETIT BOUTIQUE                       </t>
  </si>
  <si>
    <t xml:space="preserve">LA CALERA                     </t>
  </si>
  <si>
    <t>76415150K</t>
  </si>
  <si>
    <t xml:space="preserve">COMERCIAL CHELECH S.A.                            </t>
  </si>
  <si>
    <t>76421739K</t>
  </si>
  <si>
    <t xml:space="preserve">COMERCIAL DIWEB LTDA                              </t>
  </si>
  <si>
    <t xml:space="preserve">PUERTO MONTT                  </t>
  </si>
  <si>
    <t xml:space="preserve">COMERCIAL ACTUAL SPA                              </t>
  </si>
  <si>
    <t xml:space="preserve"> GRANDES TIENDAS ALFREDO NAZAL SPA                </t>
  </si>
  <si>
    <t xml:space="preserve">GRANDES TIENDAS CASA BROWN SPA                    </t>
  </si>
  <si>
    <t xml:space="preserve">COMERCIALIZADORA HERNANDO GUZMAN ROJAS            </t>
  </si>
  <si>
    <t xml:space="preserve">COQUIMBO                      </t>
  </si>
  <si>
    <t xml:space="preserve">MULTITIENDAS DIAYSEN lIMITADA                     </t>
  </si>
  <si>
    <t xml:space="preserve">FORCAEL INOSTROZA LTD                             </t>
  </si>
  <si>
    <t xml:space="preserve">COOPELAN COMERCIAL S.A                            </t>
  </si>
  <si>
    <t xml:space="preserve">SOCIEDAD COMERCIAL NATALIAS SAEZ SPA              </t>
  </si>
  <si>
    <t xml:space="preserve">CHILLAN                       </t>
  </si>
  <si>
    <t xml:space="preserve">NOELIA BOUTIQUE                                   </t>
  </si>
  <si>
    <t xml:space="preserve">COMERCIAL E INMOBILIRIA RAPALLO S.P.A             </t>
  </si>
  <si>
    <t xml:space="preserve">IQUIQUE                       </t>
  </si>
  <si>
    <t xml:space="preserve">VTA. PRENDAS DE VESTIR SALLY LTDA                 </t>
  </si>
  <si>
    <t xml:space="preserve">LA SERENA                     </t>
  </si>
  <si>
    <t xml:space="preserve">BOUTIQUE LA HERRADURA LIMITADA                    </t>
  </si>
  <si>
    <t xml:space="preserve">OSORNO                        </t>
  </si>
  <si>
    <t xml:space="preserve">COMERCIAL CALBUMAR LTDA                           </t>
  </si>
  <si>
    <t xml:space="preserve">CALBUCO                       </t>
  </si>
  <si>
    <t xml:space="preserve">OPALO VESTUARIO SPA.                              </t>
  </si>
  <si>
    <t xml:space="preserve">CONCEPCION                    </t>
  </si>
  <si>
    <t xml:space="preserve">MULTITIENDAS ROBINSON SPA                         </t>
  </si>
  <si>
    <t xml:space="preserve">SIEGMUND HNOS.LTDA.                               </t>
  </si>
  <si>
    <t xml:space="preserve">VICTORIA                      </t>
  </si>
  <si>
    <t xml:space="preserve">DOLLY S.A.                                        </t>
  </si>
  <si>
    <t xml:space="preserve">CASA ARAUCO SPA                                   </t>
  </si>
  <si>
    <t xml:space="preserve">EMILIA PALMA SPA                                  </t>
  </si>
  <si>
    <t xml:space="preserve">SAN JAVIER                    </t>
  </si>
  <si>
    <t xml:space="preserve">GRANDES TIENDAS CASA GAZINO SPA                   </t>
  </si>
  <si>
    <t xml:space="preserve">CURANILAHUE                   </t>
  </si>
  <si>
    <t xml:space="preserve">SOCIEDAD COMERCIAL CUMMING LTDA.                  </t>
  </si>
  <si>
    <t xml:space="preserve">COMERCIALIZADORA GRAN AVENTURA SPA                </t>
  </si>
  <si>
    <t xml:space="preserve">BOUTIQUE DIVAZ LIMITADA                           </t>
  </si>
  <si>
    <t xml:space="preserve">COMERCIAL JOHANNA BOUTIQUE LIMITADA               </t>
  </si>
  <si>
    <t xml:space="preserve">SOC.COM.JORGE ANANIAS                             </t>
  </si>
  <si>
    <t xml:space="preserve">MULCHEN                       </t>
  </si>
  <si>
    <t xml:space="preserve">DUSAN SPA                                         </t>
  </si>
  <si>
    <t xml:space="preserve">CAMILA BOUTIQUE SPA                               </t>
  </si>
  <si>
    <t>77297650K</t>
  </si>
  <si>
    <t xml:space="preserve">ADECOM LTDA.                                      </t>
  </si>
  <si>
    <t xml:space="preserve">JORGE CUEVAS                  </t>
  </si>
  <si>
    <t xml:space="preserve">GONART MODAS LTDA                                 </t>
  </si>
  <si>
    <t xml:space="preserve">BOUTIQUE JUANA ELIZABETH ARAYA CAMPUSANO EIRL     </t>
  </si>
  <si>
    <t xml:space="preserve">COMERCIAL CASA DE PIEDRA LIMITADA                 </t>
  </si>
  <si>
    <t xml:space="preserve">COMERCIAL JOSE ANDRES CARRASCO CID EIRL           </t>
  </si>
  <si>
    <t xml:space="preserve">SAN FERNANDO                  </t>
  </si>
  <si>
    <t xml:space="preserve">DIVINA BOUTIQUE SPA                               </t>
  </si>
  <si>
    <t xml:space="preserve">NACIMIENTO                    </t>
  </si>
  <si>
    <t xml:space="preserve">COMERCIAL GUARDIA  SPA                            </t>
  </si>
  <si>
    <t xml:space="preserve">SOC. MATURANA GALVAN Y CIA.LTDA.                  </t>
  </si>
  <si>
    <t xml:space="preserve">COPIAPO                       </t>
  </si>
  <si>
    <t xml:space="preserve">BOUTIQUE EXCLUSIVA GIVE COYHAIQUE SPA.            </t>
  </si>
  <si>
    <t xml:space="preserve">BOUTIQUE BIGNONIA SPA                             </t>
  </si>
  <si>
    <t xml:space="preserve">QUILLOTA                      </t>
  </si>
  <si>
    <t xml:space="preserve">ANDREA ALARCON SPA                                </t>
  </si>
  <si>
    <t xml:space="preserve">MANUFACTURAS E IMP.TITANIUM CHILE S.P.A           </t>
  </si>
  <si>
    <t xml:space="preserve">ANGELICA MELLA                </t>
  </si>
  <si>
    <t xml:space="preserve">NAYRA NYR SPA                                     </t>
  </si>
  <si>
    <t xml:space="preserve">SOCIEDAD COMERCIAL JORGE CABETT LTDA.             </t>
  </si>
  <si>
    <t xml:space="preserve">BOUTIQUE MERCEDES SPA                             </t>
  </si>
  <si>
    <t xml:space="preserve">SOC.COM. BUVINIC Y BUVINIC LTDA.                  </t>
  </si>
  <si>
    <t xml:space="preserve">ALBASINI E HIJOS LIMITADA                         </t>
  </si>
  <si>
    <t xml:space="preserve">BOUTIQUE ADIQTUS LTDA.                            </t>
  </si>
  <si>
    <t xml:space="preserve">EL ARTE DE VESTIR S.P.A                           </t>
  </si>
  <si>
    <t xml:space="preserve">COMERCIAL MULTICENTRO LTDA.                       </t>
  </si>
  <si>
    <t xml:space="preserve">MULTICENTRO                   </t>
  </si>
  <si>
    <t xml:space="preserve">SOC.COM.E INMOB. SANTOLAYA HNOS LTDA.             </t>
  </si>
  <si>
    <t xml:space="preserve">JAVER HNOS Y CIA LTDA                             </t>
  </si>
  <si>
    <t xml:space="preserve">COOPERCARAB                                       </t>
  </si>
  <si>
    <t xml:space="preserve">HADWEH HERMANOS LTDA                              </t>
  </si>
  <si>
    <t xml:space="preserve">SOC.FLORES ALMANDOZ NAIR Y CIA LTDA               </t>
  </si>
  <si>
    <t xml:space="preserve">COMERCIAL GERMANI SPA.                            </t>
  </si>
  <si>
    <t xml:space="preserve">EVITA LTDA.                                       </t>
  </si>
  <si>
    <t xml:space="preserve">ESTABLECIMIENTOS GERMANI SPA                      </t>
  </si>
  <si>
    <t xml:space="preserve">ESTAB. COMERC. SEIDEMANN                          </t>
  </si>
  <si>
    <t xml:space="preserve">DISTRIB. IMPORT. DIMARSA LTDA                     </t>
  </si>
  <si>
    <t>4205-02</t>
  </si>
  <si>
    <t xml:space="preserve">BIOMEDIO BOTON DELANTERO 4 </t>
  </si>
  <si>
    <t>GRAVILLADO BOTON DELANTERO 4</t>
  </si>
  <si>
    <t>RELOJERO PRETINAS OCRE</t>
  </si>
  <si>
    <t>RELOJERO PRETINAS VERDE MENTA</t>
  </si>
  <si>
    <t>RELOJERO PRETINAS VERDE OLIVA</t>
  </si>
  <si>
    <t>RELOJERO PRETINAS BURDEO</t>
  </si>
  <si>
    <t>BIOMEDIO FOCALIZADOSMART DENIM 2 PINZA TRASERO COSTADO</t>
  </si>
  <si>
    <t>GRAVILLADO CLASICO NEGRO 3 PINZAS</t>
  </si>
  <si>
    <t xml:space="preserve">GRIS GRAVILLADO  CLASICO  3 PINZAS </t>
  </si>
  <si>
    <t>NEGRO CLASICO 3 PINZAS</t>
  </si>
  <si>
    <t>SUAVIZADO  FOCALIZADO TENUE  CLASICO 3 PINZAS ALTURA</t>
  </si>
  <si>
    <t>NEGRO FOCALIZADO TENUE CLASICO 3 PINZAS ALTURA</t>
  </si>
  <si>
    <t xml:space="preserve">BIO OSCURO FOCALIZADO TENUE 2 RELOJERO TIPO OJAL 3 PINZA ALTURA </t>
  </si>
  <si>
    <t>4208-01</t>
  </si>
  <si>
    <t xml:space="preserve">GRAVILLADO FOCALIZADO TENUE 2 RELOJERO TIPO OJAL 3 PINZA ALTURA </t>
  </si>
  <si>
    <t xml:space="preserve">GRAVILLADO  FOCALIZADOCORTE  DELANTERO  3 PINZAS TRASERAS  </t>
  </si>
  <si>
    <t>BIOMEDIO FOCALIZADO PRETINA EN FORMA</t>
  </si>
  <si>
    <t>OCRE  CLASICO 2 PINZAS ALTURA</t>
  </si>
  <si>
    <t>CHOCOLATE CLASICO 2 PINZAS ALTURA</t>
  </si>
  <si>
    <t>VERDE MENTA CLASICO 2 PINZAS ALTURA</t>
  </si>
  <si>
    <t xml:space="preserve"> CHOCOLATE RELOJERO EN PRETINA Y PASADOR TRASERO  V</t>
  </si>
  <si>
    <t>4243-01</t>
  </si>
  <si>
    <t>BIO MEDIO FOCALIZADO3 PINZAS COSTURA ALTURA BOLSILLO DELANTERO 3 COSTURAS</t>
  </si>
  <si>
    <t>BIOFOCALIZADO MARENGO 1 RELOJERO GRANDE 3 PINZA ALTURA BOLSILLO OVALADO</t>
  </si>
  <si>
    <t>4207-00</t>
  </si>
  <si>
    <t>4225-01</t>
  </si>
  <si>
    <t>4225-00</t>
  </si>
  <si>
    <t xml:space="preserve"> GRAVILLADO 3 PINZATRSERO BOLSILLO TRAS  RELOJ CORTE M PUSHIN PUSH UP</t>
  </si>
  <si>
    <t>BIOOSCURO FOCALIZADO  CARGO</t>
  </si>
  <si>
    <t>4235-01</t>
  </si>
  <si>
    <t xml:space="preserve">idem 4226-01 laser 2 CIERRES EN VISTA DELANTERO 3 PINZA TRASERO DREMEL BOLSILLOS </t>
  </si>
  <si>
    <t>4208-02</t>
  </si>
  <si>
    <t>4219-00</t>
  </si>
  <si>
    <t xml:space="preserve">BIOMEDIO FOCALIZADO TENUE 2 RELOJERO TIPO OJAL 3 PINZA ALTURA </t>
  </si>
  <si>
    <t>4226-01</t>
  </si>
  <si>
    <t>BIO MEDIO FOCALIZADO  2 RELOJERO  ANCHO BOLS TRASERO  PINZA+CORTE ALTURA 3 PINZAS</t>
  </si>
  <si>
    <t>4257-04</t>
  </si>
  <si>
    <t>RELOJERO PRETINAS 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</si>
</sst>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 &quot;$&quot;* #,##0_ ;_ &quot;$&quot;* \-#,##0_ ;_ &quot;$&quot;* &quot;-&quot;_ ;_ @_ "/>
    <numFmt numFmtId="164" formatCode="_-&quot;$&quot;\ * #,##0.00_-;\-&quot;$&quot;\ * #,##0.00_-;_-&quot;$&quot;\ * &quot;-&quot;??_-;_-@_-"/>
    <numFmt numFmtId="165" formatCode="_-* #,##0.00\ &quot;€&quot;_-;\-* #,##0.00\ &quot;€&quot;_-;_-* &quot;-&quot;??\ &quot;€&quot;_-;_-@_-"/>
    <numFmt numFmtId="166" formatCode="_-* #,##0.00\ _€_-;\-* #,##0.00\ _€_-;_-* &quot;-&quot;??\ _€_-;_-@_-"/>
    <numFmt numFmtId="167" formatCode="[$$-340A]\ #,##0"/>
    <numFmt numFmtId="168" formatCode="dd/mmmm/yyyy"/>
    <numFmt numFmtId="169" formatCode="_-* #,##0_-;\-* #,##0_-;_-* &quot;-&quot;??_-;_-@_-"/>
    <numFmt numFmtId="170" formatCode="&quot;$&quot;\ #,##0"/>
    <numFmt numFmtId="171" formatCode="&quot;$&quot;#,##0"/>
  </numFmts>
  <fonts count="6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8"/>
      <name val="Century Gothic"/>
      <family val="2"/>
    </font>
    <font>
      <sz val="11"/>
      <name val="Century Gothic"/>
      <family val="2"/>
    </font>
    <font>
      <sz val="11"/>
      <color indexed="12"/>
      <name val="Century Gothic"/>
      <family val="2"/>
    </font>
    <font>
      <b/>
      <sz val="11"/>
      <name val="Century Gothic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2"/>
      <color rgb="FFFF0000"/>
      <name val="Century Gothic"/>
      <family val="2"/>
    </font>
    <font>
      <sz val="10"/>
      <color rgb="FF222222"/>
      <name val="Century Gothic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4"/>
      <color rgb="FFFF0000"/>
      <name val="Century Gothic"/>
      <family val="2"/>
    </font>
    <font>
      <u/>
      <sz val="10"/>
      <color theme="10"/>
      <name val="Century Gothic"/>
      <family val="2"/>
    </font>
    <font>
      <b/>
      <sz val="14"/>
      <name val="Century Gothic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b/>
      <sz val="32"/>
      <name val="Century Gothic"/>
      <family val="2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color rgb="FF222222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Arial"/>
      <family val="2"/>
    </font>
    <font>
      <sz val="12"/>
      <name val="Arial"/>
      <family val="2"/>
    </font>
    <font>
      <b/>
      <sz val="12"/>
      <color theme="3" tint="0.39997558519241921"/>
      <name val="Century Gothic"/>
      <family val="2"/>
    </font>
    <font>
      <b/>
      <sz val="11"/>
      <color theme="0"/>
      <name val="Century Gothic"/>
      <family val="2"/>
    </font>
    <font>
      <b/>
      <sz val="11"/>
      <color rgb="FF222222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u/>
      <sz val="11"/>
      <name val="Century Gothic"/>
      <family val="2"/>
    </font>
    <font>
      <u/>
      <sz val="10"/>
      <name val="Century Gothic"/>
      <family val="2"/>
    </font>
    <font>
      <sz val="18"/>
      <name val="Century Gothic"/>
      <family val="2"/>
    </font>
    <font>
      <sz val="18"/>
      <name val="Arial"/>
      <family val="2"/>
    </font>
    <font>
      <sz val="12"/>
      <name val="Calibri"/>
      <family val="2"/>
      <scheme val="minor"/>
    </font>
    <font>
      <b/>
      <sz val="14"/>
      <name val="Arial"/>
      <family val="2"/>
    </font>
    <font>
      <sz val="12"/>
      <color rgb="FF222222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b/>
      <sz val="12"/>
      <color rgb="FF222222"/>
      <name val="Arial"/>
      <family val="2"/>
    </font>
    <font>
      <b/>
      <sz val="12"/>
      <color theme="1"/>
      <name val="Arial"/>
      <family val="2"/>
    </font>
    <font>
      <b/>
      <sz val="16"/>
      <name val="Century Gothic"/>
      <family val="2"/>
    </font>
    <font>
      <sz val="10"/>
      <name val="Aptos Display"/>
      <family val="2"/>
    </font>
    <font>
      <sz val="12"/>
      <name val="Aptos Display"/>
      <family val="2"/>
    </font>
    <font>
      <sz val="9"/>
      <name val="Aptos Display"/>
      <family val="2"/>
    </font>
    <font>
      <sz val="8"/>
      <name val="Aptos Display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0EBF8"/>
        <bgColor indexed="64"/>
      </patternFill>
    </fill>
    <fill>
      <patternFill patternType="solid">
        <fgColor rgb="FFF1F5E7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12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slantDashDot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slantDashDot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slantDashDot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double">
        <color theme="0" tint="-0.34998626667073579"/>
      </left>
      <right/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double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double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/>
      <top/>
      <bottom/>
      <diagonal/>
    </border>
    <border>
      <left style="thin">
        <color indexed="64"/>
      </left>
      <right style="double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double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/>
      <top/>
      <bottom style="double">
        <color theme="0" tint="-0.34998626667073579"/>
      </bottom>
      <diagonal/>
    </border>
    <border>
      <left/>
      <right/>
      <top/>
      <bottom style="double">
        <color theme="0" tint="-0.34998626667073579"/>
      </bottom>
      <diagonal/>
    </border>
    <border>
      <left/>
      <right/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double">
        <color theme="0" tint="-0.34998626667073579"/>
      </bottom>
      <diagonal/>
    </border>
    <border>
      <left/>
      <right style="double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thin">
        <color indexed="64"/>
      </right>
      <top style="double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 style="thin">
        <color indexed="64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indexed="64"/>
      </left>
      <right style="double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/>
      <right style="double">
        <color theme="0" tint="-0.34998626667073579"/>
      </right>
      <top style="double">
        <color theme="0" tint="-0.34998626667073579"/>
      </top>
      <bottom/>
      <diagonal/>
    </border>
    <border>
      <left/>
      <right style="double">
        <color theme="0" tint="-0.34998626667073579"/>
      </right>
      <top/>
      <bottom/>
      <diagonal/>
    </border>
    <border>
      <left/>
      <right style="double">
        <color theme="0" tint="-0.34998626667073579"/>
      </right>
      <top/>
      <bottom style="double">
        <color theme="0" tint="-0.34998626667073579"/>
      </bottom>
      <diagonal/>
    </border>
    <border>
      <left style="double">
        <color theme="0" tint="-0.34998626667073579"/>
      </left>
      <right/>
      <top style="double">
        <color theme="0" tint="-0.34998626667073579"/>
      </top>
      <bottom style="thin">
        <color theme="0" tint="-0.34998626667073579"/>
      </bottom>
      <diagonal/>
    </border>
    <border>
      <left/>
      <right style="double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double">
        <color theme="0" tint="-0.34998626667073579"/>
      </bottom>
      <diagonal/>
    </border>
    <border>
      <left style="double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/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double">
        <color theme="0" tint="-0.34998626667073579"/>
      </bottom>
      <diagonal/>
    </border>
    <border>
      <left/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slantDashDot">
        <color theme="1" tint="0.499984740745262"/>
      </left>
      <right style="thin">
        <color theme="0" tint="-0.34998626667073579"/>
      </right>
      <top style="double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slantDashDot">
        <color theme="1" tint="0.499984740745262"/>
      </right>
      <top style="double">
        <color theme="0" tint="-0.34998626667073579"/>
      </top>
      <bottom style="thin">
        <color theme="0" tint="-0.34998626667073579"/>
      </bottom>
      <diagonal/>
    </border>
    <border>
      <left style="slantDashDot">
        <color theme="1" tint="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slantDashDot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slantDashDot">
        <color theme="1" tint="0.499984740745262"/>
      </left>
      <right style="thin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slantDashDot">
        <color theme="1" tint="0.499984740745262"/>
      </right>
      <top style="thin">
        <color theme="0" tint="-0.34998626667073579"/>
      </top>
      <bottom style="double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 style="thin">
        <color indexed="64"/>
      </top>
      <bottom style="medium">
        <color theme="0" tint="-0.34998626667073579"/>
      </bottom>
      <diagonal/>
    </border>
    <border>
      <left style="double">
        <color theme="0" tint="-0.34998626667073579"/>
      </left>
      <right/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double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/>
      <right/>
      <top style="thin">
        <color indexed="64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theme="0" tint="-0.34998626667073579"/>
      </left>
      <right/>
      <top/>
      <bottom style="thin">
        <color indexed="64"/>
      </bottom>
      <diagonal/>
    </border>
    <border>
      <left/>
      <right style="medium">
        <color theme="0" tint="-0.34998626667073579"/>
      </right>
      <top/>
      <bottom style="thin">
        <color indexed="64"/>
      </bottom>
      <diagonal/>
    </border>
  </borders>
  <cellStyleXfs count="9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42" fontId="44" fillId="0" borderId="0" applyFont="0" applyFill="0" applyBorder="0" applyAlignment="0" applyProtection="0"/>
  </cellStyleXfs>
  <cellXfs count="409">
    <xf numFmtId="0" fontId="0" fillId="0" borderId="0" xfId="0"/>
    <xf numFmtId="0" fontId="3" fillId="0" borderId="0" xfId="0" applyFont="1" applyAlignment="1" applyProtection="1">
      <alignment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167" fontId="9" fillId="0" borderId="5" xfId="3" applyNumberFormat="1" applyFont="1" applyBorder="1" applyAlignment="1" applyProtection="1">
      <alignment horizontal="center" vertical="center"/>
    </xf>
    <xf numFmtId="0" fontId="6" fillId="0" borderId="0" xfId="0" applyFont="1" applyAlignment="1" applyProtection="1">
      <alignment vertical="center"/>
      <protection locked="0"/>
    </xf>
    <xf numFmtId="0" fontId="8" fillId="3" borderId="4" xfId="0" applyFont="1" applyFill="1" applyBorder="1" applyAlignment="1" applyProtection="1">
      <alignment horizontal="center" vertical="center"/>
      <protection locked="0"/>
    </xf>
    <xf numFmtId="0" fontId="8" fillId="3" borderId="6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8" fillId="3" borderId="9" xfId="0" applyFont="1" applyFill="1" applyBorder="1" applyAlignment="1" applyProtection="1">
      <alignment horizontal="center" vertical="center"/>
      <protection locked="0"/>
    </xf>
    <xf numFmtId="0" fontId="8" fillId="3" borderId="3" xfId="0" applyFont="1" applyFill="1" applyBorder="1" applyAlignment="1" applyProtection="1">
      <alignment horizontal="center" vertical="center"/>
      <protection locked="0"/>
    </xf>
    <xf numFmtId="167" fontId="8" fillId="4" borderId="4" xfId="0" applyNumberFormat="1" applyFont="1" applyFill="1" applyBorder="1" applyAlignment="1">
      <alignment horizontal="center" vertical="center"/>
    </xf>
    <xf numFmtId="0" fontId="15" fillId="0" borderId="0" xfId="0" applyFont="1"/>
    <xf numFmtId="0" fontId="8" fillId="0" borderId="4" xfId="0" applyFont="1" applyBorder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/>
    <xf numFmtId="0" fontId="16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vertical="center" wrapText="1"/>
    </xf>
    <xf numFmtId="171" fontId="3" fillId="0" borderId="0" xfId="0" applyNumberFormat="1" applyFont="1" applyAlignment="1" applyProtection="1">
      <alignment vertical="center"/>
      <protection locked="0"/>
    </xf>
    <xf numFmtId="0" fontId="16" fillId="2" borderId="0" xfId="0" applyFont="1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31" fillId="0" borderId="0" xfId="0" applyFont="1" applyAlignment="1">
      <alignment horizontal="center"/>
    </xf>
    <xf numFmtId="0" fontId="30" fillId="0" borderId="0" xfId="0" applyFont="1"/>
    <xf numFmtId="9" fontId="1" fillId="0" borderId="4" xfId="0" applyNumberFormat="1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31" fillId="7" borderId="4" xfId="0" applyFont="1" applyFill="1" applyBorder="1" applyAlignment="1">
      <alignment horizontal="center"/>
    </xf>
    <xf numFmtId="0" fontId="30" fillId="7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9" fontId="0" fillId="0" borderId="4" xfId="0" applyNumberFormat="1" applyBorder="1" applyAlignment="1">
      <alignment horizontal="center"/>
    </xf>
    <xf numFmtId="0" fontId="1" fillId="0" borderId="4" xfId="0" applyFont="1" applyBorder="1"/>
    <xf numFmtId="0" fontId="0" fillId="0" borderId="16" xfId="0" applyBorder="1" applyAlignment="1">
      <alignment horizontal="center"/>
    </xf>
    <xf numFmtId="0" fontId="1" fillId="0" borderId="16" xfId="0" applyFont="1" applyBorder="1"/>
    <xf numFmtId="9" fontId="0" fillId="0" borderId="0" xfId="0" applyNumberFormat="1" applyAlignment="1">
      <alignment horizontal="center"/>
    </xf>
    <xf numFmtId="0" fontId="8" fillId="3" borderId="12" xfId="0" applyFont="1" applyFill="1" applyBorder="1" applyAlignment="1" applyProtection="1">
      <alignment horizontal="center" vertical="center"/>
      <protection locked="0"/>
    </xf>
    <xf numFmtId="0" fontId="8" fillId="0" borderId="12" xfId="0" applyFont="1" applyBorder="1" applyAlignment="1" applyProtection="1">
      <alignment horizontal="center" vertical="center"/>
      <protection locked="0"/>
    </xf>
    <xf numFmtId="0" fontId="8" fillId="3" borderId="14" xfId="0" applyFont="1" applyFill="1" applyBorder="1" applyAlignment="1" applyProtection="1">
      <alignment horizontal="center" vertical="center"/>
      <protection locked="0"/>
    </xf>
    <xf numFmtId="0" fontId="8" fillId="3" borderId="17" xfId="0" applyFont="1" applyFill="1" applyBorder="1" applyAlignment="1" applyProtection="1">
      <alignment horizontal="center" vertical="center"/>
      <protection locked="0"/>
    </xf>
    <xf numFmtId="0" fontId="8" fillId="3" borderId="18" xfId="0" applyFont="1" applyFill="1" applyBorder="1" applyAlignment="1" applyProtection="1">
      <alignment horizontal="center" vertical="center"/>
      <protection locked="0"/>
    </xf>
    <xf numFmtId="167" fontId="8" fillId="4" borderId="12" xfId="0" applyNumberFormat="1" applyFont="1" applyFill="1" applyBorder="1" applyAlignment="1">
      <alignment horizontal="center" vertical="center"/>
    </xf>
    <xf numFmtId="167" fontId="9" fillId="0" borderId="19" xfId="3" applyNumberFormat="1" applyFont="1" applyBorder="1" applyAlignment="1" applyProtection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3" borderId="10" xfId="0" applyFont="1" applyFill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8" fillId="3" borderId="15" xfId="0" applyFont="1" applyFill="1" applyBorder="1" applyAlignment="1" applyProtection="1">
      <alignment horizontal="center" vertical="center"/>
      <protection locked="0"/>
    </xf>
    <xf numFmtId="0" fontId="8" fillId="3" borderId="20" xfId="0" applyFont="1" applyFill="1" applyBorder="1" applyAlignment="1" applyProtection="1">
      <alignment horizontal="center" vertical="center"/>
      <protection locked="0"/>
    </xf>
    <xf numFmtId="167" fontId="8" fillId="4" borderId="10" xfId="0" applyNumberFormat="1" applyFont="1" applyFill="1" applyBorder="1" applyAlignment="1">
      <alignment horizontal="center" vertical="center"/>
    </xf>
    <xf numFmtId="167" fontId="9" fillId="0" borderId="11" xfId="3" applyNumberFormat="1" applyFont="1" applyBorder="1" applyAlignment="1" applyProtection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/>
    <xf numFmtId="0" fontId="20" fillId="0" borderId="0" xfId="0" applyFont="1"/>
    <xf numFmtId="0" fontId="17" fillId="0" borderId="0" xfId="0" applyFont="1"/>
    <xf numFmtId="0" fontId="16" fillId="0" borderId="21" xfId="0" applyFont="1" applyBorder="1" applyAlignment="1">
      <alignment vertical="center" wrapText="1"/>
    </xf>
    <xf numFmtId="0" fontId="16" fillId="0" borderId="21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 wrapText="1"/>
    </xf>
    <xf numFmtId="0" fontId="16" fillId="0" borderId="21" xfId="0" applyFont="1" applyBorder="1" applyAlignment="1">
      <alignment vertical="center"/>
    </xf>
    <xf numFmtId="0" fontId="16" fillId="0" borderId="21" xfId="0" applyFont="1" applyBorder="1" applyAlignment="1">
      <alignment vertical="top"/>
    </xf>
    <xf numFmtId="0" fontId="16" fillId="0" borderId="21" xfId="0" applyFont="1" applyBorder="1" applyAlignment="1">
      <alignment horizontal="center" vertical="top"/>
    </xf>
    <xf numFmtId="0" fontId="16" fillId="0" borderId="21" xfId="0" applyFont="1" applyBorder="1" applyAlignment="1">
      <alignment horizontal="left" vertical="center"/>
    </xf>
    <xf numFmtId="16" fontId="16" fillId="0" borderId="21" xfId="0" applyNumberFormat="1" applyFont="1" applyBorder="1" applyAlignment="1">
      <alignment horizontal="center" vertical="center"/>
    </xf>
    <xf numFmtId="0" fontId="16" fillId="0" borderId="21" xfId="0" applyFont="1" applyBorder="1" applyAlignment="1">
      <alignment horizontal="left" vertical="center" wrapText="1"/>
    </xf>
    <xf numFmtId="0" fontId="21" fillId="0" borderId="21" xfId="1" applyFont="1" applyFill="1" applyBorder="1" applyAlignment="1" applyProtection="1">
      <alignment vertical="center"/>
    </xf>
    <xf numFmtId="169" fontId="16" fillId="0" borderId="21" xfId="2" applyNumberFormat="1" applyFont="1" applyFill="1" applyBorder="1" applyAlignment="1">
      <alignment horizontal="center" vertical="center"/>
    </xf>
    <xf numFmtId="169" fontId="17" fillId="0" borderId="21" xfId="2" applyNumberFormat="1" applyFont="1" applyFill="1" applyBorder="1" applyAlignment="1">
      <alignment vertical="center" wrapText="1"/>
    </xf>
    <xf numFmtId="0" fontId="16" fillId="2" borderId="0" xfId="0" applyFont="1" applyFill="1" applyAlignment="1">
      <alignment horizontal="left" vertical="center"/>
    </xf>
    <xf numFmtId="169" fontId="16" fillId="0" borderId="21" xfId="2" applyNumberFormat="1" applyFont="1" applyFill="1" applyBorder="1" applyAlignment="1">
      <alignment horizontal="left" vertical="center"/>
    </xf>
    <xf numFmtId="9" fontId="16" fillId="0" borderId="21" xfId="0" applyNumberFormat="1" applyFont="1" applyBorder="1" applyAlignment="1">
      <alignment horizontal="center" vertical="center"/>
    </xf>
    <xf numFmtId="0" fontId="19" fillId="0" borderId="21" xfId="1" applyFont="1" applyFill="1" applyBorder="1" applyAlignment="1" applyProtection="1">
      <alignment horizontal="left" vertical="center"/>
    </xf>
    <xf numFmtId="0" fontId="21" fillId="0" borderId="21" xfId="1" applyFont="1" applyFill="1" applyBorder="1" applyAlignment="1" applyProtection="1">
      <alignment horizontal="left" vertical="center"/>
    </xf>
    <xf numFmtId="0" fontId="37" fillId="0" borderId="21" xfId="0" applyFont="1" applyBorder="1" applyAlignment="1">
      <alignment horizontal="left"/>
    </xf>
    <xf numFmtId="0" fontId="18" fillId="4" borderId="21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left" vertical="center"/>
    </xf>
    <xf numFmtId="0" fontId="18" fillId="4" borderId="21" xfId="0" applyFont="1" applyFill="1" applyBorder="1" applyAlignment="1">
      <alignment horizontal="left" vertical="center" wrapText="1"/>
    </xf>
    <xf numFmtId="0" fontId="16" fillId="0" borderId="22" xfId="0" applyFont="1" applyBorder="1" applyAlignment="1">
      <alignment vertical="top"/>
    </xf>
    <xf numFmtId="0" fontId="18" fillId="4" borderId="23" xfId="0" applyFont="1" applyFill="1" applyBorder="1" applyAlignment="1">
      <alignment horizontal="center" vertical="center" wrapText="1"/>
    </xf>
    <xf numFmtId="3" fontId="18" fillId="4" borderId="23" xfId="0" applyNumberFormat="1" applyFont="1" applyFill="1" applyBorder="1" applyAlignment="1">
      <alignment horizontal="center" vertical="center" wrapText="1"/>
    </xf>
    <xf numFmtId="0" fontId="17" fillId="0" borderId="21" xfId="0" applyFont="1" applyBorder="1" applyAlignment="1">
      <alignment horizontal="left" vertical="center"/>
    </xf>
    <xf numFmtId="0" fontId="34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 wrapText="1"/>
    </xf>
    <xf numFmtId="0" fontId="34" fillId="2" borderId="0" xfId="0" applyFont="1" applyFill="1"/>
    <xf numFmtId="0" fontId="16" fillId="0" borderId="22" xfId="0" applyFont="1" applyBorder="1" applyAlignment="1">
      <alignment horizontal="center" vertical="top"/>
    </xf>
    <xf numFmtId="9" fontId="18" fillId="4" borderId="23" xfId="7" applyFont="1" applyFill="1" applyBorder="1" applyAlignment="1">
      <alignment horizontal="center" vertical="center" wrapText="1"/>
    </xf>
    <xf numFmtId="9" fontId="16" fillId="2" borderId="0" xfId="7" applyFont="1" applyFill="1" applyAlignment="1">
      <alignment horizontal="center"/>
    </xf>
    <xf numFmtId="9" fontId="16" fillId="0" borderId="22" xfId="7" applyFont="1" applyFill="1" applyBorder="1" applyAlignment="1">
      <alignment horizontal="center" vertical="top"/>
    </xf>
    <xf numFmtId="9" fontId="16" fillId="0" borderId="21" xfId="7" applyFont="1" applyFill="1" applyBorder="1" applyAlignment="1">
      <alignment horizontal="center" vertical="top"/>
    </xf>
    <xf numFmtId="1" fontId="34" fillId="2" borderId="0" xfId="7" applyNumberFormat="1" applyFont="1" applyFill="1" applyAlignment="1">
      <alignment horizontal="center" vertical="center" wrapText="1"/>
    </xf>
    <xf numFmtId="171" fontId="16" fillId="2" borderId="0" xfId="0" applyNumberFormat="1" applyFont="1" applyFill="1"/>
    <xf numFmtId="171" fontId="18" fillId="4" borderId="23" xfId="3" applyNumberFormat="1" applyFont="1" applyFill="1" applyBorder="1" applyAlignment="1">
      <alignment horizontal="center" vertical="center" wrapText="1"/>
    </xf>
    <xf numFmtId="171" fontId="16" fillId="0" borderId="22" xfId="0" applyNumberFormat="1" applyFont="1" applyBorder="1" applyAlignment="1">
      <alignment vertical="top"/>
    </xf>
    <xf numFmtId="171" fontId="16" fillId="0" borderId="21" xfId="0" applyNumberFormat="1" applyFont="1" applyBorder="1" applyAlignment="1">
      <alignment vertical="top"/>
    </xf>
    <xf numFmtId="1" fontId="34" fillId="2" borderId="0" xfId="0" applyNumberFormat="1" applyFont="1" applyFill="1" applyAlignment="1">
      <alignment horizontal="center" vertical="center" wrapText="1"/>
    </xf>
    <xf numFmtId="1" fontId="16" fillId="2" borderId="0" xfId="0" applyNumberFormat="1" applyFont="1" applyFill="1" applyAlignment="1">
      <alignment horizontal="center"/>
    </xf>
    <xf numFmtId="1" fontId="16" fillId="0" borderId="22" xfId="0" applyNumberFormat="1" applyFont="1" applyBorder="1" applyAlignment="1">
      <alignment horizontal="center" vertical="top"/>
    </xf>
    <xf numFmtId="1" fontId="16" fillId="0" borderId="21" xfId="0" applyNumberFormat="1" applyFont="1" applyBorder="1" applyAlignment="1">
      <alignment horizontal="center" vertical="top"/>
    </xf>
    <xf numFmtId="1" fontId="38" fillId="6" borderId="23" xfId="0" applyNumberFormat="1" applyFont="1" applyFill="1" applyBorder="1" applyAlignment="1">
      <alignment horizontal="center" vertical="center" wrapText="1"/>
    </xf>
    <xf numFmtId="1" fontId="34" fillId="2" borderId="0" xfId="0" applyNumberFormat="1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0" fontId="3" fillId="2" borderId="30" xfId="0" applyFont="1" applyFill="1" applyBorder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3" fillId="2" borderId="47" xfId="0" applyFont="1" applyFill="1" applyBorder="1" applyAlignment="1" applyProtection="1">
      <alignment vertical="center"/>
      <protection locked="0"/>
    </xf>
    <xf numFmtId="0" fontId="3" fillId="2" borderId="48" xfId="0" applyFont="1" applyFill="1" applyBorder="1" applyAlignment="1" applyProtection="1">
      <alignment vertical="center"/>
      <protection locked="0"/>
    </xf>
    <xf numFmtId="0" fontId="8" fillId="0" borderId="21" xfId="0" applyFont="1" applyBorder="1" applyAlignment="1">
      <alignment horizontal="center" vertical="center"/>
    </xf>
    <xf numFmtId="0" fontId="8" fillId="0" borderId="21" xfId="0" applyFont="1" applyBorder="1" applyAlignment="1" applyProtection="1">
      <alignment horizontal="center" vertical="center"/>
      <protection locked="0"/>
    </xf>
    <xf numFmtId="0" fontId="8" fillId="3" borderId="21" xfId="0" applyFont="1" applyFill="1" applyBorder="1" applyAlignment="1" applyProtection="1">
      <alignment horizontal="center" vertical="center"/>
      <protection locked="0"/>
    </xf>
    <xf numFmtId="167" fontId="9" fillId="0" borderId="59" xfId="3" applyNumberFormat="1" applyFont="1" applyBorder="1" applyAlignment="1" applyProtection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0" xfId="0" applyFont="1" applyBorder="1" applyAlignment="1" applyProtection="1">
      <alignment horizontal="center" vertical="center"/>
      <protection locked="0"/>
    </xf>
    <xf numFmtId="0" fontId="8" fillId="3" borderId="60" xfId="0" applyFont="1" applyFill="1" applyBorder="1" applyAlignment="1" applyProtection="1">
      <alignment horizontal="center" vertical="center"/>
      <protection locked="0"/>
    </xf>
    <xf numFmtId="167" fontId="9" fillId="0" borderId="61" xfId="3" applyNumberFormat="1" applyFont="1" applyBorder="1" applyAlignment="1" applyProtection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70" xfId="0" applyFont="1" applyBorder="1" applyAlignment="1" applyProtection="1">
      <alignment horizontal="center" vertical="center"/>
      <protection locked="0"/>
    </xf>
    <xf numFmtId="0" fontId="8" fillId="3" borderId="71" xfId="0" applyFont="1" applyFill="1" applyBorder="1" applyAlignment="1" applyProtection="1">
      <alignment horizontal="center" vertical="center"/>
      <protection locked="0"/>
    </xf>
    <xf numFmtId="0" fontId="8" fillId="0" borderId="72" xfId="0" applyFont="1" applyBorder="1" applyAlignment="1" applyProtection="1">
      <alignment horizontal="center" vertical="center"/>
      <protection locked="0"/>
    </xf>
    <xf numFmtId="0" fontId="8" fillId="3" borderId="73" xfId="0" applyFont="1" applyFill="1" applyBorder="1" applyAlignment="1" applyProtection="1">
      <alignment horizontal="center" vertical="center"/>
      <protection locked="0"/>
    </xf>
    <xf numFmtId="0" fontId="8" fillId="3" borderId="70" xfId="0" applyFont="1" applyFill="1" applyBorder="1" applyAlignment="1" applyProtection="1">
      <alignment horizontal="center" vertical="center"/>
      <protection locked="0"/>
    </xf>
    <xf numFmtId="0" fontId="8" fillId="3" borderId="72" xfId="0" applyFont="1" applyFill="1" applyBorder="1" applyAlignment="1" applyProtection="1">
      <alignment horizontal="center" vertical="center"/>
      <protection locked="0"/>
    </xf>
    <xf numFmtId="0" fontId="8" fillId="0" borderId="12" xfId="0" applyFont="1" applyBorder="1" applyAlignment="1">
      <alignment horizontal="center" vertical="center"/>
    </xf>
    <xf numFmtId="0" fontId="8" fillId="0" borderId="17" xfId="0" applyFont="1" applyBorder="1" applyAlignment="1" applyProtection="1">
      <alignment horizontal="center" vertical="center"/>
      <protection locked="0"/>
    </xf>
    <xf numFmtId="3" fontId="4" fillId="0" borderId="0" xfId="0" applyNumberFormat="1" applyFont="1" applyAlignment="1">
      <alignment vertical="center"/>
    </xf>
    <xf numFmtId="1" fontId="4" fillId="2" borderId="81" xfId="0" applyNumberFormat="1" applyFont="1" applyFill="1" applyBorder="1" applyAlignment="1" applyProtection="1">
      <alignment horizontal="center" vertical="center"/>
      <protection locked="0"/>
    </xf>
    <xf numFmtId="167" fontId="8" fillId="10" borderId="21" xfId="0" applyNumberFormat="1" applyFont="1" applyFill="1" applyBorder="1" applyAlignment="1">
      <alignment horizontal="center" vertical="center"/>
    </xf>
    <xf numFmtId="167" fontId="8" fillId="10" borderId="60" xfId="0" applyNumberFormat="1" applyFont="1" applyFill="1" applyBorder="1" applyAlignment="1">
      <alignment horizontal="center" vertical="center"/>
    </xf>
    <xf numFmtId="0" fontId="4" fillId="0" borderId="87" xfId="0" applyFont="1" applyBorder="1" applyAlignment="1" applyProtection="1">
      <alignment horizontal="right" vertical="center" indent="1"/>
      <protection locked="0"/>
    </xf>
    <xf numFmtId="171" fontId="41" fillId="0" borderId="88" xfId="3" applyNumberFormat="1" applyFont="1" applyBorder="1" applyAlignment="1" applyProtection="1">
      <alignment horizontal="center" vertical="center"/>
    </xf>
    <xf numFmtId="0" fontId="4" fillId="0" borderId="89" xfId="0" applyFont="1" applyBorder="1" applyAlignment="1" applyProtection="1">
      <alignment horizontal="right" vertical="center" indent="1"/>
      <protection locked="0"/>
    </xf>
    <xf numFmtId="171" fontId="41" fillId="0" borderId="90" xfId="3" applyNumberFormat="1" applyFont="1" applyBorder="1" applyAlignment="1" applyProtection="1">
      <alignment horizontal="center" vertical="center"/>
    </xf>
    <xf numFmtId="0" fontId="4" fillId="0" borderId="91" xfId="0" applyFont="1" applyBorder="1" applyAlignment="1" applyProtection="1">
      <alignment horizontal="right" vertical="center" indent="1"/>
      <protection locked="0"/>
    </xf>
    <xf numFmtId="171" fontId="41" fillId="0" borderId="92" xfId="3" applyNumberFormat="1" applyFont="1" applyBorder="1" applyAlignment="1" applyProtection="1">
      <alignment horizontal="center" vertical="center"/>
    </xf>
    <xf numFmtId="170" fontId="4" fillId="2" borderId="80" xfId="2" applyNumberFormat="1" applyFont="1" applyFill="1" applyBorder="1" applyAlignment="1" applyProtection="1">
      <alignment horizontal="right" vertical="center" indent="1"/>
      <protection locked="0"/>
    </xf>
    <xf numFmtId="9" fontId="10" fillId="2" borderId="37" xfId="7" applyFont="1" applyFill="1" applyBorder="1" applyAlignment="1" applyProtection="1">
      <alignment horizontal="center" vertical="center"/>
      <protection locked="0"/>
    </xf>
    <xf numFmtId="0" fontId="42" fillId="9" borderId="52" xfId="0" applyFont="1" applyFill="1" applyBorder="1" applyAlignment="1" applyProtection="1">
      <alignment horizontal="center" vertical="center" wrapText="1"/>
      <protection locked="0"/>
    </xf>
    <xf numFmtId="0" fontId="42" fillId="9" borderId="42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39" fillId="0" borderId="0" xfId="1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10" fillId="12" borderId="57" xfId="0" applyFont="1" applyFill="1" applyBorder="1" applyAlignment="1" applyProtection="1">
      <alignment horizontal="center" vertical="center"/>
      <protection locked="0"/>
    </xf>
    <xf numFmtId="0" fontId="10" fillId="12" borderId="62" xfId="0" applyFont="1" applyFill="1" applyBorder="1" applyAlignment="1" applyProtection="1">
      <alignment horizontal="center" vertical="center"/>
      <protection locked="0"/>
    </xf>
    <xf numFmtId="0" fontId="10" fillId="12" borderId="68" xfId="0" applyFont="1" applyFill="1" applyBorder="1" applyAlignment="1" applyProtection="1">
      <alignment horizontal="center" vertical="center"/>
      <protection locked="0"/>
    </xf>
    <xf numFmtId="0" fontId="10" fillId="12" borderId="69" xfId="0" applyFont="1" applyFill="1" applyBorder="1" applyAlignment="1" applyProtection="1">
      <alignment horizontal="center" vertical="center"/>
      <protection locked="0"/>
    </xf>
    <xf numFmtId="0" fontId="10" fillId="12" borderId="58" xfId="0" applyFont="1" applyFill="1" applyBorder="1" applyAlignment="1" applyProtection="1">
      <alignment horizontal="center" vertical="center"/>
      <protection locked="0"/>
    </xf>
    <xf numFmtId="0" fontId="27" fillId="0" borderId="0" xfId="0" applyFont="1" applyAlignment="1">
      <alignment horizontal="center" vertical="center"/>
    </xf>
    <xf numFmtId="0" fontId="35" fillId="0" borderId="21" xfId="0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/>
    </xf>
    <xf numFmtId="0" fontId="36" fillId="0" borderId="21" xfId="0" applyFont="1" applyBorder="1" applyAlignment="1">
      <alignment horizontal="center" vertical="center" wrapText="1"/>
    </xf>
    <xf numFmtId="0" fontId="36" fillId="0" borderId="21" xfId="0" applyFont="1" applyBorder="1" applyAlignment="1">
      <alignment horizontal="center" vertical="center"/>
    </xf>
    <xf numFmtId="0" fontId="35" fillId="8" borderId="21" xfId="0" applyFont="1" applyFill="1" applyBorder="1" applyAlignment="1">
      <alignment horizontal="center" vertical="center" wrapText="1"/>
    </xf>
    <xf numFmtId="0" fontId="35" fillId="8" borderId="21" xfId="0" applyFont="1" applyFill="1" applyBorder="1" applyAlignment="1">
      <alignment horizontal="center" vertical="center"/>
    </xf>
    <xf numFmtId="0" fontId="43" fillId="5" borderId="21" xfId="0" applyFont="1" applyFill="1" applyBorder="1" applyAlignment="1">
      <alignment horizontal="center" vertical="center" wrapText="1"/>
    </xf>
    <xf numFmtId="0" fontId="43" fillId="5" borderId="21" xfId="0" applyFont="1" applyFill="1" applyBorder="1" applyAlignment="1">
      <alignment horizontal="center" vertical="center"/>
    </xf>
    <xf numFmtId="0" fontId="35" fillId="0" borderId="21" xfId="0" applyFont="1" applyBorder="1" applyAlignment="1">
      <alignment horizontal="left" vertical="center" wrapText="1"/>
    </xf>
    <xf numFmtId="0" fontId="35" fillId="8" borderId="21" xfId="0" applyFont="1" applyFill="1" applyBorder="1" applyAlignment="1">
      <alignment horizontal="left" vertical="center" wrapText="1"/>
    </xf>
    <xf numFmtId="0" fontId="45" fillId="2" borderId="93" xfId="0" applyFont="1" applyFill="1" applyBorder="1" applyAlignment="1">
      <alignment horizontal="left" wrapText="1"/>
    </xf>
    <xf numFmtId="0" fontId="45" fillId="2" borderId="94" xfId="0" applyFont="1" applyFill="1" applyBorder="1" applyAlignment="1">
      <alignment horizontal="left" wrapText="1"/>
    </xf>
    <xf numFmtId="42" fontId="46" fillId="13" borderId="95" xfId="8" applyFont="1" applyFill="1" applyBorder="1" applyAlignment="1">
      <alignment horizontal="right"/>
    </xf>
    <xf numFmtId="0" fontId="45" fillId="2" borderId="8" xfId="0" applyFont="1" applyFill="1" applyBorder="1" applyAlignment="1">
      <alignment horizontal="left" wrapText="1"/>
    </xf>
    <xf numFmtId="0" fontId="45" fillId="2" borderId="4" xfId="0" applyFont="1" applyFill="1" applyBorder="1" applyAlignment="1">
      <alignment horizontal="left" wrapText="1"/>
    </xf>
    <xf numFmtId="42" fontId="46" fillId="13" borderId="96" xfId="8" applyFont="1" applyFill="1" applyBorder="1" applyAlignment="1">
      <alignment horizontal="right"/>
    </xf>
    <xf numFmtId="0" fontId="18" fillId="2" borderId="4" xfId="0" applyFont="1" applyFill="1" applyBorder="1" applyAlignment="1">
      <alignment horizontal="left" wrapText="1"/>
    </xf>
    <xf numFmtId="0" fontId="45" fillId="2" borderId="97" xfId="0" applyFont="1" applyFill="1" applyBorder="1" applyAlignment="1">
      <alignment horizontal="left" wrapText="1"/>
    </xf>
    <xf numFmtId="0" fontId="45" fillId="2" borderId="98" xfId="0" applyFont="1" applyFill="1" applyBorder="1" applyAlignment="1">
      <alignment horizontal="left" wrapText="1"/>
    </xf>
    <xf numFmtId="42" fontId="46" fillId="13" borderId="99" xfId="8" applyFont="1" applyFill="1" applyBorder="1" applyAlignment="1">
      <alignment horizontal="right"/>
    </xf>
    <xf numFmtId="0" fontId="45" fillId="2" borderId="100" xfId="0" applyFont="1" applyFill="1" applyBorder="1" applyAlignment="1">
      <alignment horizontal="left" wrapText="1"/>
    </xf>
    <xf numFmtId="0" fontId="45" fillId="2" borderId="101" xfId="0" applyFont="1" applyFill="1" applyBorder="1" applyAlignment="1">
      <alignment horizontal="left" wrapText="1"/>
    </xf>
    <xf numFmtId="0" fontId="45" fillId="2" borderId="12" xfId="0" applyFont="1" applyFill="1" applyBorder="1" applyAlignment="1">
      <alignment horizontal="left" wrapText="1"/>
    </xf>
    <xf numFmtId="42" fontId="46" fillId="13" borderId="102" xfId="8" applyFont="1" applyFill="1" applyBorder="1" applyAlignment="1">
      <alignment horizontal="right"/>
    </xf>
    <xf numFmtId="0" fontId="45" fillId="2" borderId="103" xfId="0" applyFont="1" applyFill="1" applyBorder="1" applyAlignment="1">
      <alignment horizontal="left" wrapText="1"/>
    </xf>
    <xf numFmtId="0" fontId="45" fillId="2" borderId="104" xfId="0" applyFont="1" applyFill="1" applyBorder="1" applyAlignment="1">
      <alignment horizontal="left" wrapText="1"/>
    </xf>
    <xf numFmtId="0" fontId="45" fillId="2" borderId="105" xfId="0" applyFont="1" applyFill="1" applyBorder="1" applyAlignment="1">
      <alignment horizontal="left" wrapText="1"/>
    </xf>
    <xf numFmtId="0" fontId="45" fillId="2" borderId="106" xfId="0" applyFont="1" applyFill="1" applyBorder="1" applyAlignment="1">
      <alignment horizontal="left" wrapText="1"/>
    </xf>
    <xf numFmtId="0" fontId="45" fillId="2" borderId="107" xfId="0" applyFont="1" applyFill="1" applyBorder="1" applyAlignment="1">
      <alignment horizontal="left" wrapText="1"/>
    </xf>
    <xf numFmtId="0" fontId="45" fillId="2" borderId="108" xfId="0" applyFont="1" applyFill="1" applyBorder="1" applyAlignment="1">
      <alignment horizontal="left" wrapText="1"/>
    </xf>
    <xf numFmtId="42" fontId="46" fillId="13" borderId="109" xfId="8" applyFont="1" applyFill="1" applyBorder="1" applyAlignment="1">
      <alignment horizontal="right"/>
    </xf>
    <xf numFmtId="0" fontId="45" fillId="2" borderId="13" xfId="0" applyFont="1" applyFill="1" applyBorder="1" applyAlignment="1">
      <alignment horizontal="left" wrapText="1"/>
    </xf>
    <xf numFmtId="0" fontId="18" fillId="2" borderId="10" xfId="0" applyFont="1" applyFill="1" applyBorder="1" applyAlignment="1">
      <alignment horizontal="left" wrapText="1"/>
    </xf>
    <xf numFmtId="0" fontId="45" fillId="2" borderId="10" xfId="0" applyFont="1" applyFill="1" applyBorder="1" applyAlignment="1">
      <alignment horizontal="left" wrapText="1"/>
    </xf>
    <xf numFmtId="42" fontId="46" fillId="13" borderId="110" xfId="8" applyFont="1" applyFill="1" applyBorder="1" applyAlignment="1">
      <alignment horizontal="right"/>
    </xf>
    <xf numFmtId="42" fontId="46" fillId="13" borderId="94" xfId="8" applyFont="1" applyFill="1" applyBorder="1" applyAlignment="1">
      <alignment horizontal="right"/>
    </xf>
    <xf numFmtId="42" fontId="46" fillId="13" borderId="4" xfId="8" applyFont="1" applyFill="1" applyBorder="1" applyAlignment="1">
      <alignment horizontal="right"/>
    </xf>
    <xf numFmtId="42" fontId="46" fillId="13" borderId="98" xfId="8" applyFont="1" applyFill="1" applyBorder="1" applyAlignment="1">
      <alignment horizontal="right"/>
    </xf>
    <xf numFmtId="42" fontId="46" fillId="14" borderId="4" xfId="8" applyFont="1" applyFill="1" applyBorder="1" applyAlignment="1">
      <alignment horizontal="right"/>
    </xf>
    <xf numFmtId="0" fontId="47" fillId="14" borderId="4" xfId="0" applyFont="1" applyFill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47" fillId="0" borderId="4" xfId="0" applyFont="1" applyBorder="1" applyAlignment="1">
      <alignment horizontal="center" vertical="center"/>
    </xf>
    <xf numFmtId="0" fontId="26" fillId="14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5" fillId="0" borderId="116" xfId="0" applyFont="1" applyBorder="1" applyAlignment="1">
      <alignment horizontal="left" vertical="center" wrapText="1"/>
    </xf>
    <xf numFmtId="0" fontId="35" fillId="0" borderId="116" xfId="0" applyFont="1" applyBorder="1" applyAlignment="1">
      <alignment horizontal="center" vertical="center" wrapText="1"/>
    </xf>
    <xf numFmtId="0" fontId="26" fillId="15" borderId="0" xfId="0" applyFont="1" applyFill="1" applyAlignment="1">
      <alignment horizontal="center" vertical="center"/>
    </xf>
    <xf numFmtId="0" fontId="45" fillId="0" borderId="8" xfId="0" applyFont="1" applyBorder="1" applyAlignment="1">
      <alignment horizontal="left" wrapText="1"/>
    </xf>
    <xf numFmtId="0" fontId="45" fillId="0" borderId="4" xfId="0" applyFont="1" applyBorder="1" applyAlignment="1">
      <alignment horizontal="left" wrapText="1"/>
    </xf>
    <xf numFmtId="42" fontId="46" fillId="0" borderId="4" xfId="8" applyFont="1" applyFill="1" applyBorder="1" applyAlignment="1">
      <alignment horizontal="right"/>
    </xf>
    <xf numFmtId="0" fontId="48" fillId="0" borderId="4" xfId="0" applyFont="1" applyBorder="1" applyAlignment="1">
      <alignment horizontal="center" vertical="center"/>
    </xf>
    <xf numFmtId="0" fontId="45" fillId="2" borderId="4" xfId="0" applyFont="1" applyFill="1" applyBorder="1" applyAlignment="1">
      <alignment horizontal="center" wrapText="1"/>
    </xf>
    <xf numFmtId="0" fontId="26" fillId="0" borderId="96" xfId="0" applyFont="1" applyBorder="1" applyAlignment="1">
      <alignment horizontal="center"/>
    </xf>
    <xf numFmtId="0" fontId="45" fillId="2" borderId="0" xfId="0" applyFont="1" applyFill="1" applyAlignment="1">
      <alignment horizontal="left" wrapText="1"/>
    </xf>
    <xf numFmtId="0" fontId="45" fillId="2" borderId="122" xfId="0" applyFont="1" applyFill="1" applyBorder="1" applyAlignment="1">
      <alignment horizontal="left" wrapText="1"/>
    </xf>
    <xf numFmtId="0" fontId="45" fillId="2" borderId="123" xfId="0" applyFont="1" applyFill="1" applyBorder="1" applyAlignment="1">
      <alignment horizontal="left" wrapText="1"/>
    </xf>
    <xf numFmtId="42" fontId="46" fillId="13" borderId="124" xfId="8" applyFont="1" applyFill="1" applyBorder="1" applyAlignment="1">
      <alignment horizontal="right"/>
    </xf>
    <xf numFmtId="0" fontId="49" fillId="0" borderId="4" xfId="0" applyFont="1" applyBorder="1" applyAlignment="1">
      <alignment horizontal="center" vertical="center"/>
    </xf>
    <xf numFmtId="0" fontId="45" fillId="2" borderId="9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 wrapText="1"/>
    </xf>
    <xf numFmtId="0" fontId="45" fillId="2" borderId="98" xfId="0" applyFont="1" applyFill="1" applyBorder="1" applyAlignment="1">
      <alignment horizontal="center" wrapText="1"/>
    </xf>
    <xf numFmtId="0" fontId="45" fillId="2" borderId="12" xfId="0" applyFont="1" applyFill="1" applyBorder="1" applyAlignment="1">
      <alignment horizontal="center" wrapText="1"/>
    </xf>
    <xf numFmtId="0" fontId="45" fillId="14" borderId="4" xfId="0" applyFont="1" applyFill="1" applyBorder="1" applyAlignment="1">
      <alignment horizontal="center" wrapText="1"/>
    </xf>
    <xf numFmtId="0" fontId="50" fillId="2" borderId="29" xfId="0" applyFont="1" applyFill="1" applyBorder="1" applyAlignment="1" applyProtection="1">
      <alignment vertical="center"/>
      <protection locked="0"/>
    </xf>
    <xf numFmtId="0" fontId="50" fillId="2" borderId="35" xfId="0" applyFont="1" applyFill="1" applyBorder="1" applyAlignment="1" applyProtection="1">
      <alignment vertical="center"/>
      <protection locked="0"/>
    </xf>
    <xf numFmtId="0" fontId="7" fillId="12" borderId="56" xfId="0" applyFont="1" applyFill="1" applyBorder="1" applyAlignment="1" applyProtection="1">
      <alignment horizontal="center" vertical="center"/>
      <protection locked="0"/>
    </xf>
    <xf numFmtId="0" fontId="51" fillId="2" borderId="10" xfId="0" applyFont="1" applyFill="1" applyBorder="1" applyAlignment="1">
      <alignment horizontal="center" vertical="center"/>
    </xf>
    <xf numFmtId="0" fontId="51" fillId="2" borderId="4" xfId="0" applyFont="1" applyFill="1" applyBorder="1" applyAlignment="1">
      <alignment horizontal="center" vertical="center"/>
    </xf>
    <xf numFmtId="0" fontId="51" fillId="2" borderId="12" xfId="0" applyFont="1" applyFill="1" applyBorder="1" applyAlignment="1">
      <alignment horizontal="center" vertical="center"/>
    </xf>
    <xf numFmtId="0" fontId="50" fillId="0" borderId="0" xfId="0" applyFont="1" applyAlignment="1" applyProtection="1">
      <alignment vertical="center"/>
      <protection locked="0"/>
    </xf>
    <xf numFmtId="9" fontId="7" fillId="0" borderId="53" xfId="7" applyFont="1" applyFill="1" applyBorder="1" applyAlignment="1" applyProtection="1">
      <alignment horizontal="center" vertical="center"/>
      <protection locked="0"/>
    </xf>
    <xf numFmtId="0" fontId="52" fillId="0" borderId="21" xfId="0" applyFont="1" applyBorder="1" applyAlignment="1">
      <alignment horizontal="center" vertical="center"/>
    </xf>
    <xf numFmtId="0" fontId="52" fillId="0" borderId="63" xfId="0" applyFont="1" applyBorder="1" applyAlignment="1">
      <alignment horizontal="center" vertical="center"/>
    </xf>
    <xf numFmtId="0" fontId="53" fillId="0" borderId="53" xfId="0" applyFont="1" applyBorder="1" applyAlignment="1">
      <alignment horizontal="center" vertical="center"/>
    </xf>
    <xf numFmtId="0" fontId="53" fillId="0" borderId="52" xfId="0" applyFont="1" applyBorder="1" applyAlignment="1">
      <alignment horizontal="center" vertical="center"/>
    </xf>
    <xf numFmtId="1" fontId="52" fillId="0" borderId="21" xfId="0" applyNumberFormat="1" applyFont="1" applyBorder="1" applyAlignment="1">
      <alignment horizontal="center" vertical="center"/>
    </xf>
    <xf numFmtId="0" fontId="0" fillId="16" borderId="0" xfId="0" applyFill="1"/>
    <xf numFmtId="0" fontId="54" fillId="16" borderId="0" xfId="0" applyFont="1" applyFill="1" applyAlignment="1">
      <alignment vertical="center" wrapText="1"/>
    </xf>
    <xf numFmtId="0" fontId="57" fillId="16" borderId="125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8" fillId="0" borderId="125" xfId="0" applyFont="1" applyBorder="1" applyAlignment="1">
      <alignment horizontal="center" vertical="center"/>
    </xf>
    <xf numFmtId="0" fontId="57" fillId="16" borderId="126" xfId="0" applyFont="1" applyFill="1" applyBorder="1" applyAlignment="1">
      <alignment horizontal="center" vertical="center"/>
    </xf>
    <xf numFmtId="0" fontId="58" fillId="0" borderId="53" xfId="0" applyFont="1" applyBorder="1" applyAlignment="1">
      <alignment horizontal="center" vertical="center"/>
    </xf>
    <xf numFmtId="0" fontId="52" fillId="0" borderId="125" xfId="0" applyFont="1" applyBorder="1" applyAlignment="1">
      <alignment horizontal="center" vertical="center"/>
    </xf>
    <xf numFmtId="0" fontId="57" fillId="16" borderId="21" xfId="0" applyFont="1" applyFill="1" applyBorder="1" applyAlignment="1">
      <alignment horizontal="center" vertical="center"/>
    </xf>
    <xf numFmtId="0" fontId="57" fillId="16" borderId="63" xfId="0" applyFont="1" applyFill="1" applyBorder="1" applyAlignment="1">
      <alignment horizontal="center" vertical="center"/>
    </xf>
    <xf numFmtId="0" fontId="52" fillId="0" borderId="126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/>
    </xf>
    <xf numFmtId="1" fontId="52" fillId="0" borderId="4" xfId="0" applyNumberFormat="1" applyFont="1" applyBorder="1" applyAlignment="1">
      <alignment horizontal="center" vertical="center"/>
    </xf>
    <xf numFmtId="0" fontId="26" fillId="0" borderId="116" xfId="0" applyFont="1" applyBorder="1" applyAlignment="1">
      <alignment horizontal="center"/>
    </xf>
    <xf numFmtId="0" fontId="27" fillId="0" borderId="21" xfId="0" applyFont="1" applyBorder="1" applyAlignment="1">
      <alignment horizontal="center" vertical="center"/>
    </xf>
    <xf numFmtId="0" fontId="58" fillId="0" borderId="7" xfId="0" applyFont="1" applyBorder="1" applyAlignment="1">
      <alignment horizontal="center" vertical="center"/>
    </xf>
    <xf numFmtId="1" fontId="58" fillId="0" borderId="6" xfId="0" applyNumberFormat="1" applyFont="1" applyBorder="1" applyAlignment="1">
      <alignment horizontal="center"/>
    </xf>
    <xf numFmtId="1" fontId="58" fillId="0" borderId="120" xfId="0" applyNumberFormat="1" applyFont="1" applyBorder="1" applyAlignment="1">
      <alignment horizontal="center"/>
    </xf>
    <xf numFmtId="0" fontId="58" fillId="0" borderId="6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" fontId="58" fillId="0" borderId="4" xfId="0" applyNumberFormat="1" applyFont="1" applyBorder="1" applyAlignment="1">
      <alignment horizontal="center"/>
    </xf>
    <xf numFmtId="0" fontId="58" fillId="0" borderId="4" xfId="0" applyFont="1" applyBorder="1" applyAlignment="1">
      <alignment horizontal="center" vertical="center"/>
    </xf>
    <xf numFmtId="1" fontId="58" fillId="0" borderId="0" xfId="0" applyNumberFormat="1" applyFont="1" applyAlignment="1">
      <alignment horizontal="center"/>
    </xf>
    <xf numFmtId="0" fontId="59" fillId="5" borderId="21" xfId="0" applyFont="1" applyFill="1" applyBorder="1" applyAlignment="1">
      <alignment horizontal="center" wrapText="1"/>
    </xf>
    <xf numFmtId="0" fontId="58" fillId="0" borderId="21" xfId="0" applyFont="1" applyBorder="1" applyAlignment="1">
      <alignment horizontal="center" wrapText="1"/>
    </xf>
    <xf numFmtId="1" fontId="58" fillId="0" borderId="21" xfId="0" applyNumberFormat="1" applyFont="1" applyBorder="1" applyAlignment="1">
      <alignment horizontal="center"/>
    </xf>
    <xf numFmtId="0" fontId="55" fillId="0" borderId="21" xfId="0" applyFont="1" applyBorder="1" applyAlignment="1">
      <alignment horizontal="center" wrapText="1"/>
    </xf>
    <xf numFmtId="0" fontId="58" fillId="0" borderId="21" xfId="0" applyFont="1" applyBorder="1" applyAlignment="1">
      <alignment horizontal="center"/>
    </xf>
    <xf numFmtId="0" fontId="58" fillId="8" borderId="21" xfId="0" applyFont="1" applyFill="1" applyBorder="1" applyAlignment="1">
      <alignment horizontal="center" wrapText="1"/>
    </xf>
    <xf numFmtId="1" fontId="58" fillId="8" borderId="21" xfId="0" applyNumberFormat="1" applyFont="1" applyFill="1" applyBorder="1" applyAlignment="1">
      <alignment horizontal="center"/>
    </xf>
    <xf numFmtId="0" fontId="60" fillId="2" borderId="111" xfId="0" applyFont="1" applyFill="1" applyBorder="1" applyAlignment="1">
      <alignment horizontal="center" wrapText="1"/>
    </xf>
    <xf numFmtId="0" fontId="60" fillId="2" borderId="7" xfId="0" applyFont="1" applyFill="1" applyBorder="1" applyAlignment="1">
      <alignment horizontal="center" wrapText="1"/>
    </xf>
    <xf numFmtId="0" fontId="60" fillId="2" borderId="112" xfId="0" applyFont="1" applyFill="1" applyBorder="1" applyAlignment="1">
      <alignment horizontal="center" wrapText="1"/>
    </xf>
    <xf numFmtId="0" fontId="60" fillId="2" borderId="113" xfId="0" applyFont="1" applyFill="1" applyBorder="1" applyAlignment="1">
      <alignment horizontal="center" wrapText="1"/>
    </xf>
    <xf numFmtId="0" fontId="60" fillId="2" borderId="0" xfId="0" applyFont="1" applyFill="1" applyAlignment="1">
      <alignment horizontal="center" wrapText="1"/>
    </xf>
    <xf numFmtId="0" fontId="60" fillId="2" borderId="114" xfId="0" applyFont="1" applyFill="1" applyBorder="1" applyAlignment="1">
      <alignment horizontal="center" wrapText="1"/>
    </xf>
    <xf numFmtId="0" fontId="60" fillId="2" borderId="115" xfId="0" applyFont="1" applyFill="1" applyBorder="1" applyAlignment="1">
      <alignment horizontal="center" wrapText="1"/>
    </xf>
    <xf numFmtId="0" fontId="60" fillId="2" borderId="14" xfId="0" applyFont="1" applyFill="1" applyBorder="1" applyAlignment="1">
      <alignment horizontal="center" wrapText="1"/>
    </xf>
    <xf numFmtId="0" fontId="60" fillId="2" borderId="117" xfId="0" applyFont="1" applyFill="1" applyBorder="1" applyAlignment="1">
      <alignment horizontal="center" wrapText="1"/>
    </xf>
    <xf numFmtId="0" fontId="60" fillId="2" borderId="118" xfId="0" applyFont="1" applyFill="1" applyBorder="1" applyAlignment="1">
      <alignment horizontal="center" wrapText="1"/>
    </xf>
    <xf numFmtId="0" fontId="60" fillId="2" borderId="119" xfId="0" applyFont="1" applyFill="1" applyBorder="1" applyAlignment="1">
      <alignment horizontal="center" wrapText="1"/>
    </xf>
    <xf numFmtId="0" fontId="60" fillId="2" borderId="120" xfId="0" applyFont="1" applyFill="1" applyBorder="1" applyAlignment="1">
      <alignment horizontal="center" wrapText="1"/>
    </xf>
    <xf numFmtId="0" fontId="60" fillId="2" borderId="6" xfId="0" applyFont="1" applyFill="1" applyBorder="1" applyAlignment="1">
      <alignment horizontal="center" wrapText="1"/>
    </xf>
    <xf numFmtId="0" fontId="60" fillId="14" borderId="6" xfId="0" applyFont="1" applyFill="1" applyBorder="1" applyAlignment="1">
      <alignment horizontal="center" wrapText="1"/>
    </xf>
    <xf numFmtId="0" fontId="60" fillId="14" borderId="14" xfId="0" applyFont="1" applyFill="1" applyBorder="1" applyAlignment="1">
      <alignment horizontal="center" wrapText="1"/>
    </xf>
    <xf numFmtId="0" fontId="60" fillId="2" borderId="121" xfId="0" applyFont="1" applyFill="1" applyBorder="1" applyAlignment="1">
      <alignment horizontal="center" wrapText="1"/>
    </xf>
    <xf numFmtId="0" fontId="60" fillId="2" borderId="4" xfId="0" applyFont="1" applyFill="1" applyBorder="1" applyAlignment="1">
      <alignment horizontal="center" wrapText="1"/>
    </xf>
    <xf numFmtId="1" fontId="58" fillId="0" borderId="125" xfId="0" applyNumberFormat="1" applyFont="1" applyBorder="1" applyAlignment="1">
      <alignment horizontal="center"/>
    </xf>
    <xf numFmtId="0" fontId="26" fillId="0" borderId="125" xfId="0" applyFont="1" applyBorder="1" applyAlignment="1">
      <alignment horizontal="center" vertical="center"/>
    </xf>
    <xf numFmtId="0" fontId="26" fillId="0" borderId="126" xfId="0" applyFont="1" applyBorder="1" applyAlignment="1">
      <alignment horizontal="center" vertical="center"/>
    </xf>
    <xf numFmtId="0" fontId="52" fillId="0" borderId="4" xfId="0" applyFont="1" applyBorder="1" applyAlignment="1">
      <alignment horizontal="center" vertical="center"/>
    </xf>
    <xf numFmtId="0" fontId="57" fillId="16" borderId="4" xfId="0" applyFont="1" applyFill="1" applyBorder="1" applyAlignment="1">
      <alignment horizontal="center" vertical="center"/>
    </xf>
    <xf numFmtId="0" fontId="58" fillId="17" borderId="125" xfId="0" applyFont="1" applyFill="1" applyBorder="1" applyAlignment="1">
      <alignment horizontal="center" vertical="center"/>
    </xf>
    <xf numFmtId="0" fontId="52" fillId="17" borderId="125" xfId="0" applyFont="1" applyFill="1" applyBorder="1" applyAlignment="1">
      <alignment horizontal="center" vertical="center"/>
    </xf>
    <xf numFmtId="0" fontId="52" fillId="17" borderId="126" xfId="0" applyFont="1" applyFill="1" applyBorder="1" applyAlignment="1">
      <alignment horizontal="center" vertical="center"/>
    </xf>
    <xf numFmtId="1" fontId="52" fillId="17" borderId="4" xfId="0" applyNumberFormat="1" applyFont="1" applyFill="1" applyBorder="1" applyAlignment="1">
      <alignment horizontal="center" vertical="center"/>
    </xf>
    <xf numFmtId="0" fontId="14" fillId="0" borderId="127" xfId="0" applyFont="1" applyBorder="1" applyAlignment="1" applyProtection="1">
      <alignment vertical="center"/>
      <protection locked="0"/>
    </xf>
    <xf numFmtId="0" fontId="3" fillId="0" borderId="128" xfId="0" applyFont="1" applyBorder="1" applyAlignment="1" applyProtection="1">
      <alignment vertical="center"/>
      <protection locked="0"/>
    </xf>
    <xf numFmtId="1" fontId="31" fillId="0" borderId="4" xfId="0" applyNumberFormat="1" applyFont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62" fillId="2" borderId="94" xfId="0" applyFont="1" applyFill="1" applyBorder="1" applyAlignment="1">
      <alignment horizontal="left" vertical="center"/>
    </xf>
    <xf numFmtId="0" fontId="62" fillId="2" borderId="94" xfId="0" applyFont="1" applyFill="1" applyBorder="1" applyAlignment="1">
      <alignment horizontal="right" vertical="center"/>
    </xf>
    <xf numFmtId="0" fontId="63" fillId="2" borderId="94" xfId="0" applyFont="1" applyFill="1" applyBorder="1" applyAlignment="1">
      <alignment horizontal="center" vertical="center"/>
    </xf>
    <xf numFmtId="0" fontId="63" fillId="2" borderId="4" xfId="0" applyFont="1" applyFill="1" applyBorder="1" applyAlignment="1">
      <alignment horizontal="center" vertical="center"/>
    </xf>
    <xf numFmtId="0" fontId="62" fillId="2" borderId="4" xfId="0" applyFont="1" applyFill="1" applyBorder="1" applyAlignment="1">
      <alignment horizontal="left" vertical="center"/>
    </xf>
    <xf numFmtId="42" fontId="0" fillId="2" borderId="94" xfId="8" applyFont="1" applyFill="1" applyBorder="1"/>
    <xf numFmtId="42" fontId="0" fillId="2" borderId="4" xfId="8" applyFont="1" applyFill="1" applyBorder="1"/>
    <xf numFmtId="0" fontId="64" fillId="2" borderId="94" xfId="0" applyFont="1" applyFill="1" applyBorder="1" applyAlignment="1">
      <alignment horizontal="left" vertical="center"/>
    </xf>
    <xf numFmtId="0" fontId="65" fillId="2" borderId="94" xfId="0" applyFont="1" applyFill="1" applyBorder="1" applyAlignment="1">
      <alignment horizontal="left" vertical="center"/>
    </xf>
    <xf numFmtId="42" fontId="0" fillId="0" borderId="0" xfId="8" applyFont="1" applyAlignment="1">
      <alignment horizontal="center"/>
    </xf>
    <xf numFmtId="0" fontId="0" fillId="0" borderId="0" xfId="0" applyAlignment="1">
      <alignment horizontal="right"/>
    </xf>
    <xf numFmtId="0" fontId="62" fillId="2" borderId="94" xfId="0" applyFont="1" applyFill="1" applyBorder="1" applyAlignment="1">
      <alignment vertical="center"/>
    </xf>
    <xf numFmtId="0" fontId="53" fillId="14" borderId="53" xfId="0" applyFont="1" applyFill="1" applyBorder="1" applyAlignment="1">
      <alignment horizontal="center" vertical="center"/>
    </xf>
    <xf numFmtId="0" fontId="8" fillId="14" borderId="21" xfId="0" applyFont="1" applyFill="1" applyBorder="1" applyAlignment="1">
      <alignment horizontal="center" vertical="center"/>
    </xf>
    <xf numFmtId="0" fontId="8" fillId="14" borderId="63" xfId="0" applyFont="1" applyFill="1" applyBorder="1" applyAlignment="1">
      <alignment horizontal="center" vertical="center"/>
    </xf>
    <xf numFmtId="0" fontId="10" fillId="3" borderId="44" xfId="0" applyFont="1" applyFill="1" applyBorder="1" applyAlignment="1" applyProtection="1">
      <alignment horizontal="center" vertical="center"/>
      <protection locked="0"/>
    </xf>
    <xf numFmtId="0" fontId="10" fillId="3" borderId="25" xfId="0" applyFont="1" applyFill="1" applyBorder="1" applyAlignment="1" applyProtection="1">
      <alignment horizontal="center" vertical="center"/>
      <protection locked="0"/>
    </xf>
    <xf numFmtId="0" fontId="10" fillId="3" borderId="36" xfId="0" applyFont="1" applyFill="1" applyBorder="1" applyAlignment="1" applyProtection="1">
      <alignment horizontal="center" vertical="center"/>
      <protection locked="0"/>
    </xf>
    <xf numFmtId="3" fontId="33" fillId="0" borderId="24" xfId="0" applyNumberFormat="1" applyFont="1" applyBorder="1" applyAlignment="1" applyProtection="1">
      <alignment horizontal="center" vertical="center"/>
      <protection locked="0"/>
    </xf>
    <xf numFmtId="3" fontId="33" fillId="0" borderId="40" xfId="0" applyNumberFormat="1" applyFont="1" applyBorder="1" applyAlignment="1" applyProtection="1">
      <alignment horizontal="center" vertical="center"/>
      <protection locked="0"/>
    </xf>
    <xf numFmtId="0" fontId="5" fillId="0" borderId="75" xfId="0" applyFont="1" applyBorder="1" applyAlignment="1" applyProtection="1">
      <alignment horizontal="left" vertical="center" indent="1"/>
      <protection locked="0"/>
    </xf>
    <xf numFmtId="0" fontId="5" fillId="0" borderId="76" xfId="0" applyFont="1" applyBorder="1" applyAlignment="1" applyProtection="1">
      <alignment horizontal="left" vertical="center" indent="1"/>
      <protection locked="0"/>
    </xf>
    <xf numFmtId="0" fontId="5" fillId="0" borderId="77" xfId="0" applyFont="1" applyBorder="1" applyAlignment="1" applyProtection="1">
      <alignment horizontal="left" vertical="center" indent="1"/>
      <protection locked="0"/>
    </xf>
    <xf numFmtId="0" fontId="10" fillId="0" borderId="84" xfId="0" applyFont="1" applyBorder="1" applyAlignment="1">
      <alignment horizontal="center" vertical="center"/>
    </xf>
    <xf numFmtId="0" fontId="10" fillId="0" borderId="85" xfId="0" applyFont="1" applyBorder="1" applyAlignment="1">
      <alignment horizontal="center" vertical="center"/>
    </xf>
    <xf numFmtId="0" fontId="10" fillId="0" borderId="86" xfId="0" applyFont="1" applyBorder="1" applyAlignment="1">
      <alignment horizontal="center" vertical="center"/>
    </xf>
    <xf numFmtId="0" fontId="4" fillId="0" borderId="74" xfId="0" applyFont="1" applyBorder="1" applyAlignment="1" applyProtection="1">
      <alignment horizontal="left" vertical="center" indent="1"/>
      <protection locked="0"/>
    </xf>
    <xf numFmtId="0" fontId="4" fillId="0" borderId="0" xfId="0" applyFont="1" applyAlignment="1" applyProtection="1">
      <alignment horizontal="left" vertical="center" indent="1"/>
      <protection locked="0"/>
    </xf>
    <xf numFmtId="0" fontId="4" fillId="0" borderId="83" xfId="0" applyFont="1" applyBorder="1" applyAlignment="1" applyProtection="1">
      <alignment horizontal="left" vertical="center" indent="1"/>
      <protection locked="0"/>
    </xf>
    <xf numFmtId="0" fontId="5" fillId="0" borderId="74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83" xfId="0" applyFont="1" applyBorder="1" applyAlignment="1">
      <alignment horizontal="left" vertical="center" indent="1"/>
    </xf>
    <xf numFmtId="16" fontId="8" fillId="0" borderId="26" xfId="0" applyNumberFormat="1" applyFont="1" applyBorder="1" applyAlignment="1" applyProtection="1">
      <alignment horizontal="left" vertical="center" indent="1"/>
      <protection locked="0"/>
    </xf>
    <xf numFmtId="0" fontId="8" fillId="0" borderId="25" xfId="0" applyFont="1" applyBorder="1" applyAlignment="1" applyProtection="1">
      <alignment horizontal="left" vertical="center" indent="1"/>
      <protection locked="0"/>
    </xf>
    <xf numFmtId="0" fontId="8" fillId="0" borderId="27" xfId="0" applyFont="1" applyBorder="1" applyAlignment="1" applyProtection="1">
      <alignment horizontal="left" vertical="center" indent="1"/>
      <protection locked="0"/>
    </xf>
    <xf numFmtId="0" fontId="3" fillId="2" borderId="35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3" fillId="2" borderId="48" xfId="0" applyFont="1" applyFill="1" applyBorder="1" applyAlignment="1" applyProtection="1">
      <alignment horizontal="center" vertical="center"/>
      <protection locked="0"/>
    </xf>
    <xf numFmtId="0" fontId="40" fillId="0" borderId="35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48" xfId="0" applyFont="1" applyBorder="1" applyAlignment="1">
      <alignment horizontal="center" vertical="center"/>
    </xf>
    <xf numFmtId="0" fontId="23" fillId="2" borderId="38" xfId="1" applyFont="1" applyFill="1" applyBorder="1" applyAlignment="1" applyProtection="1">
      <alignment horizontal="center" vertical="center"/>
      <protection locked="0"/>
    </xf>
    <xf numFmtId="0" fontId="3" fillId="2" borderId="39" xfId="0" applyFont="1" applyFill="1" applyBorder="1" applyAlignment="1" applyProtection="1">
      <alignment horizontal="center" vertical="center"/>
      <protection locked="0"/>
    </xf>
    <xf numFmtId="0" fontId="3" fillId="2" borderId="49" xfId="0" applyFont="1" applyFill="1" applyBorder="1" applyAlignment="1" applyProtection="1">
      <alignment horizontal="center" vertical="center"/>
      <protection locked="0"/>
    </xf>
    <xf numFmtId="0" fontId="22" fillId="0" borderId="54" xfId="0" applyFont="1" applyBorder="1" applyAlignment="1" applyProtection="1">
      <alignment horizontal="center" vertical="center"/>
      <protection locked="0"/>
    </xf>
    <xf numFmtId="0" fontId="22" fillId="0" borderId="55" xfId="0" applyFont="1" applyBorder="1" applyAlignment="1" applyProtection="1">
      <alignment horizontal="center" vertical="center"/>
      <protection locked="0"/>
    </xf>
    <xf numFmtId="3" fontId="42" fillId="9" borderId="45" xfId="0" applyNumberFormat="1" applyFont="1" applyFill="1" applyBorder="1" applyAlignment="1" applyProtection="1">
      <alignment horizontal="center" vertical="center" wrapText="1"/>
      <protection locked="0"/>
    </xf>
    <xf numFmtId="3" fontId="42" fillId="9" borderId="41" xfId="0" applyNumberFormat="1" applyFont="1" applyFill="1" applyBorder="1" applyAlignment="1" applyProtection="1">
      <alignment horizontal="center" vertical="center" wrapText="1"/>
      <protection locked="0"/>
    </xf>
    <xf numFmtId="3" fontId="42" fillId="9" borderId="46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35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48" xfId="0" applyFont="1" applyFill="1" applyBorder="1" applyAlignment="1" applyProtection="1">
      <alignment horizontal="center" vertical="center"/>
      <protection locked="0"/>
    </xf>
    <xf numFmtId="14" fontId="8" fillId="0" borderId="26" xfId="0" applyNumberFormat="1" applyFont="1" applyBorder="1" applyAlignment="1" applyProtection="1">
      <alignment horizontal="left" vertical="center" indent="1"/>
      <protection locked="0"/>
    </xf>
    <xf numFmtId="14" fontId="8" fillId="0" borderId="25" xfId="0" applyNumberFormat="1" applyFont="1" applyBorder="1" applyAlignment="1" applyProtection="1">
      <alignment horizontal="left" vertical="center" indent="1"/>
      <protection locked="0"/>
    </xf>
    <xf numFmtId="14" fontId="8" fillId="0" borderId="27" xfId="0" applyNumberFormat="1" applyFont="1" applyBorder="1" applyAlignment="1" applyProtection="1">
      <alignment horizontal="left" vertical="center" indent="1"/>
      <protection locked="0"/>
    </xf>
    <xf numFmtId="0" fontId="24" fillId="3" borderId="31" xfId="0" applyFont="1" applyFill="1" applyBorder="1" applyAlignment="1" applyProtection="1">
      <alignment horizontal="center" vertical="center"/>
      <protection locked="0"/>
    </xf>
    <xf numFmtId="0" fontId="24" fillId="3" borderId="24" xfId="0" applyFont="1" applyFill="1" applyBorder="1" applyAlignment="1" applyProtection="1">
      <alignment horizontal="center" vertical="center"/>
      <protection locked="0"/>
    </xf>
    <xf numFmtId="0" fontId="24" fillId="0" borderId="24" xfId="0" applyFont="1" applyBorder="1" applyAlignment="1">
      <alignment horizontal="center" vertical="center" wrapText="1"/>
    </xf>
    <xf numFmtId="0" fontId="24" fillId="3" borderId="24" xfId="0" applyFont="1" applyFill="1" applyBorder="1" applyAlignment="1" applyProtection="1">
      <alignment horizontal="center" vertical="center" wrapText="1"/>
      <protection locked="0"/>
    </xf>
    <xf numFmtId="0" fontId="4" fillId="3" borderId="24" xfId="0" applyFont="1" applyFill="1" applyBorder="1" applyAlignment="1" applyProtection="1">
      <alignment horizontal="center" vertical="center" wrapText="1"/>
      <protection locked="0"/>
    </xf>
    <xf numFmtId="0" fontId="10" fillId="3" borderId="44" xfId="0" applyFont="1" applyFill="1" applyBorder="1" applyAlignment="1" applyProtection="1">
      <alignment horizontal="center" vertical="center" wrapText="1"/>
      <protection locked="0"/>
    </xf>
    <xf numFmtId="0" fontId="10" fillId="3" borderId="25" xfId="0" applyFont="1" applyFill="1" applyBorder="1" applyAlignment="1" applyProtection="1">
      <alignment horizontal="center" vertical="center" wrapText="1"/>
      <protection locked="0"/>
    </xf>
    <xf numFmtId="0" fontId="10" fillId="3" borderId="36" xfId="0" applyFont="1" applyFill="1" applyBorder="1" applyAlignment="1" applyProtection="1">
      <alignment horizontal="center" vertical="center" wrapText="1"/>
      <protection locked="0"/>
    </xf>
    <xf numFmtId="0" fontId="10" fillId="3" borderId="43" xfId="0" applyFont="1" applyFill="1" applyBorder="1" applyAlignment="1" applyProtection="1">
      <alignment horizontal="center" vertical="center"/>
      <protection locked="0"/>
    </xf>
    <xf numFmtId="0" fontId="10" fillId="3" borderId="32" xfId="0" applyFont="1" applyFill="1" applyBorder="1" applyAlignment="1" applyProtection="1">
      <alignment horizontal="center" vertical="center"/>
      <protection locked="0"/>
    </xf>
    <xf numFmtId="0" fontId="10" fillId="3" borderId="34" xfId="0" applyFont="1" applyFill="1" applyBorder="1" applyAlignment="1" applyProtection="1">
      <alignment horizontal="center" vertical="center"/>
      <protection locked="0"/>
    </xf>
    <xf numFmtId="0" fontId="4" fillId="0" borderId="24" xfId="0" applyFont="1" applyBorder="1" applyAlignment="1" applyProtection="1">
      <alignment horizontal="center" vertical="center" wrapText="1"/>
      <protection locked="0"/>
    </xf>
    <xf numFmtId="3" fontId="24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26" xfId="0" applyFont="1" applyBorder="1" applyAlignment="1">
      <alignment horizontal="left" vertical="center" indent="1"/>
    </xf>
    <xf numFmtId="0" fontId="8" fillId="0" borderId="25" xfId="0" applyFont="1" applyBorder="1" applyAlignment="1">
      <alignment horizontal="left" vertical="center" indent="1"/>
    </xf>
    <xf numFmtId="0" fontId="8" fillId="0" borderId="27" xfId="0" applyFont="1" applyBorder="1" applyAlignment="1">
      <alignment horizontal="left" vertical="center" indent="1"/>
    </xf>
    <xf numFmtId="0" fontId="8" fillId="0" borderId="26" xfId="0" applyFont="1" applyBorder="1" applyAlignment="1">
      <alignment horizontal="left" vertical="center" wrapText="1" indent="1"/>
    </xf>
    <xf numFmtId="0" fontId="8" fillId="0" borderId="25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10" fillId="3" borderId="50" xfId="0" applyFont="1" applyFill="1" applyBorder="1" applyAlignment="1" applyProtection="1">
      <alignment horizontal="center" vertical="center"/>
      <protection locked="0"/>
    </xf>
    <xf numFmtId="0" fontId="10" fillId="3" borderId="51" xfId="0" applyFont="1" applyFill="1" applyBorder="1" applyAlignment="1" applyProtection="1">
      <alignment horizontal="center" vertical="center"/>
      <protection locked="0"/>
    </xf>
    <xf numFmtId="0" fontId="10" fillId="0" borderId="24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24" xfId="0" applyFont="1" applyBorder="1" applyAlignment="1" applyProtection="1">
      <alignment horizontal="left" vertical="center" indent="1"/>
      <protection locked="0"/>
    </xf>
    <xf numFmtId="0" fontId="8" fillId="0" borderId="33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8" fillId="0" borderId="34" xfId="0" applyFont="1" applyBorder="1" applyAlignment="1">
      <alignment horizontal="left" vertical="center" wrapText="1" indent="1"/>
    </xf>
    <xf numFmtId="0" fontId="39" fillId="0" borderId="26" xfId="1" applyFont="1" applyFill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168" fontId="8" fillId="0" borderId="26" xfId="0" applyNumberFormat="1" applyFont="1" applyBorder="1" applyAlignment="1" applyProtection="1">
      <alignment horizontal="center" vertical="center" wrapText="1"/>
      <protection locked="0"/>
    </xf>
    <xf numFmtId="168" fontId="8" fillId="0" borderId="36" xfId="0" applyNumberFormat="1" applyFont="1" applyBorder="1" applyAlignment="1" applyProtection="1">
      <alignment horizontal="center" vertical="center" wrapText="1"/>
      <protection locked="0"/>
    </xf>
    <xf numFmtId="0" fontId="8" fillId="0" borderId="26" xfId="0" applyFont="1" applyBorder="1" applyAlignment="1" applyProtection="1">
      <alignment horizontal="center" vertical="center"/>
      <protection locked="0"/>
    </xf>
    <xf numFmtId="3" fontId="10" fillId="11" borderId="66" xfId="0" applyNumberFormat="1" applyFont="1" applyFill="1" applyBorder="1" applyAlignment="1">
      <alignment horizontal="center" vertical="center"/>
    </xf>
    <xf numFmtId="3" fontId="10" fillId="11" borderId="21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" fontId="4" fillId="2" borderId="81" xfId="0" applyNumberFormat="1" applyFont="1" applyFill="1" applyBorder="1" applyAlignment="1" applyProtection="1">
      <alignment horizontal="center" vertical="center"/>
      <protection locked="0"/>
    </xf>
    <xf numFmtId="3" fontId="10" fillId="11" borderId="67" xfId="0" applyNumberFormat="1" applyFont="1" applyFill="1" applyBorder="1" applyAlignment="1">
      <alignment horizontal="center" vertical="center"/>
    </xf>
    <xf numFmtId="3" fontId="10" fillId="11" borderId="60" xfId="0" applyNumberFormat="1" applyFont="1" applyFill="1" applyBorder="1" applyAlignment="1">
      <alignment horizontal="center" vertical="center"/>
    </xf>
    <xf numFmtId="0" fontId="10" fillId="12" borderId="65" xfId="0" applyFont="1" applyFill="1" applyBorder="1" applyAlignment="1" applyProtection="1">
      <alignment horizontal="center" vertical="center"/>
      <protection locked="0"/>
    </xf>
    <xf numFmtId="0" fontId="10" fillId="12" borderId="57" xfId="0" applyFont="1" applyFill="1" applyBorder="1" applyAlignment="1" applyProtection="1">
      <alignment horizontal="center" vertical="center"/>
      <protection locked="0"/>
    </xf>
    <xf numFmtId="0" fontId="61" fillId="0" borderId="26" xfId="0" applyFont="1" applyBorder="1" applyAlignment="1" applyProtection="1">
      <alignment horizontal="center" vertical="center"/>
      <protection locked="0"/>
    </xf>
    <xf numFmtId="0" fontId="61" fillId="0" borderId="36" xfId="0" applyFont="1" applyBorder="1" applyAlignment="1" applyProtection="1">
      <alignment horizontal="center" vertical="center"/>
      <protection locked="0"/>
    </xf>
    <xf numFmtId="0" fontId="42" fillId="9" borderId="45" xfId="0" applyFont="1" applyFill="1" applyBorder="1" applyAlignment="1" applyProtection="1">
      <alignment horizontal="center" vertical="center"/>
      <protection locked="0"/>
    </xf>
    <xf numFmtId="0" fontId="42" fillId="9" borderId="46" xfId="0" applyFont="1" applyFill="1" applyBorder="1" applyAlignment="1" applyProtection="1">
      <alignment horizontal="center" vertical="center"/>
      <protection locked="0"/>
    </xf>
    <xf numFmtId="3" fontId="10" fillId="3" borderId="44" xfId="0" applyNumberFormat="1" applyFont="1" applyFill="1" applyBorder="1" applyAlignment="1" applyProtection="1">
      <alignment horizontal="center" vertical="center"/>
      <protection locked="0"/>
    </xf>
    <xf numFmtId="3" fontId="10" fillId="3" borderId="25" xfId="0" applyNumberFormat="1" applyFont="1" applyFill="1" applyBorder="1" applyAlignment="1" applyProtection="1">
      <alignment horizontal="center" vertical="center"/>
      <protection locked="0"/>
    </xf>
    <xf numFmtId="3" fontId="10" fillId="3" borderId="36" xfId="0" applyNumberFormat="1" applyFont="1" applyFill="1" applyBorder="1" applyAlignment="1" applyProtection="1">
      <alignment horizontal="center" vertical="center"/>
      <protection locked="0"/>
    </xf>
    <xf numFmtId="3" fontId="42" fillId="9" borderId="79" xfId="0" applyNumberFormat="1" applyFont="1" applyFill="1" applyBorder="1" applyAlignment="1" applyProtection="1">
      <alignment horizontal="center" vertical="center"/>
      <protection locked="0"/>
    </xf>
    <xf numFmtId="3" fontId="42" fillId="9" borderId="40" xfId="0" applyNumberFormat="1" applyFont="1" applyFill="1" applyBorder="1" applyAlignment="1" applyProtection="1">
      <alignment horizontal="center" vertical="center"/>
      <protection locked="0"/>
    </xf>
    <xf numFmtId="3" fontId="42" fillId="9" borderId="42" xfId="0" applyNumberFormat="1" applyFont="1" applyFill="1" applyBorder="1" applyAlignment="1" applyProtection="1">
      <alignment horizontal="center" vertical="center"/>
      <protection locked="0"/>
    </xf>
    <xf numFmtId="3" fontId="10" fillId="0" borderId="24" xfId="0" applyNumberFormat="1" applyFont="1" applyBorder="1" applyAlignment="1" applyProtection="1">
      <alignment horizontal="left" vertical="center"/>
      <protection locked="0"/>
    </xf>
    <xf numFmtId="3" fontId="10" fillId="0" borderId="24" xfId="0" applyNumberFormat="1" applyFont="1" applyBorder="1" applyAlignment="1" applyProtection="1">
      <alignment horizontal="right" vertical="center"/>
      <protection locked="0"/>
    </xf>
    <xf numFmtId="3" fontId="8" fillId="0" borderId="26" xfId="0" applyNumberFormat="1" applyFont="1" applyBorder="1" applyAlignment="1" applyProtection="1">
      <alignment horizontal="left" vertical="center" indent="1"/>
      <protection locked="0"/>
    </xf>
    <xf numFmtId="3" fontId="8" fillId="0" borderId="25" xfId="0" applyNumberFormat="1" applyFont="1" applyBorder="1" applyAlignment="1" applyProtection="1">
      <alignment horizontal="left" vertical="center" indent="1"/>
      <protection locked="0"/>
    </xf>
    <xf numFmtId="3" fontId="8" fillId="0" borderId="27" xfId="0" applyNumberFormat="1" applyFont="1" applyBorder="1" applyAlignment="1" applyProtection="1">
      <alignment horizontal="left" vertical="center" indent="1"/>
      <protection locked="0"/>
    </xf>
    <xf numFmtId="1" fontId="4" fillId="2" borderId="81" xfId="2" applyNumberFormat="1" applyFont="1" applyFill="1" applyBorder="1" applyAlignment="1" applyProtection="1">
      <alignment horizontal="center" vertical="center"/>
      <protection locked="0"/>
    </xf>
    <xf numFmtId="3" fontId="10" fillId="11" borderId="7" xfId="0" applyNumberFormat="1" applyFont="1" applyFill="1" applyBorder="1" applyAlignment="1">
      <alignment horizontal="center" vertical="center"/>
    </xf>
    <xf numFmtId="3" fontId="10" fillId="11" borderId="8" xfId="0" applyNumberFormat="1" applyFont="1" applyFill="1" applyBorder="1" applyAlignment="1">
      <alignment horizontal="center" vertical="center"/>
    </xf>
    <xf numFmtId="3" fontId="10" fillId="11" borderId="2" xfId="0" applyNumberFormat="1" applyFont="1" applyFill="1" applyBorder="1" applyAlignment="1">
      <alignment horizontal="center" vertical="center"/>
    </xf>
    <xf numFmtId="3" fontId="10" fillId="11" borderId="13" xfId="0" applyNumberFormat="1" applyFont="1" applyFill="1" applyBorder="1" applyAlignment="1">
      <alignment horizontal="center" vertical="center"/>
    </xf>
    <xf numFmtId="3" fontId="10" fillId="11" borderId="82" xfId="0" applyNumberFormat="1" applyFont="1" applyFill="1" applyBorder="1" applyAlignment="1">
      <alignment horizontal="center" vertical="center"/>
    </xf>
    <xf numFmtId="3" fontId="10" fillId="11" borderId="78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/>
    </xf>
  </cellXfs>
  <cellStyles count="9">
    <cellStyle name="Hipervínculo" xfId="1" builtinId="8"/>
    <cellStyle name="Millares" xfId="2" builtinId="3"/>
    <cellStyle name="Moneda" xfId="3" builtinId="4"/>
    <cellStyle name="Moneda [0]" xfId="8" builtinId="7"/>
    <cellStyle name="Moneda 2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Porcentaje" xfId="7" builtinId="5"/>
  </cellStyles>
  <dxfs count="16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1" formatCode="&quot;$&quot;#,##0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strike val="0"/>
        <outline val="0"/>
        <shadow val="0"/>
        <vertAlign val="baseline"/>
        <sz val="1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1" formatCode="&quot;$&quot;#,##0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strike val="0"/>
        <outline val="0"/>
        <shadow val="0"/>
        <vertAlign val="baseline"/>
        <sz val="1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vertAlign val="baseline"/>
        <sz val="10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9" defaultPivotStyle="PivotStyleLight16"/>
  <colors>
    <mruColors>
      <color rgb="FFE8E8E8"/>
      <color rgb="FFF1F5E7"/>
      <color rgb="FFE0EB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202452</xdr:colOff>
      <xdr:row>0</xdr:row>
      <xdr:rowOff>42515</xdr:rowOff>
    </xdr:from>
    <xdr:to>
      <xdr:col>1</xdr:col>
      <xdr:colOff>3680583</xdr:colOff>
      <xdr:row>4</xdr:row>
      <xdr:rowOff>174737</xdr:rowOff>
    </xdr:to>
    <xdr:pic>
      <xdr:nvPicPr>
        <xdr:cNvPr id="5" name="4 Imagen" descr="nota de pedid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2052" y="42515"/>
          <a:ext cx="3480548" cy="1249822"/>
        </a:xfrm>
        <a:prstGeom prst="rect">
          <a:avLst/>
        </a:prstGeom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7</xdr:col>
      <xdr:colOff>79375</xdr:colOff>
      <xdr:row>1</xdr:row>
      <xdr:rowOff>0</xdr:rowOff>
    </xdr:to>
    <xdr:pic>
      <xdr:nvPicPr>
        <xdr:cNvPr id="128871" name="Picture 1" descr="isobn">
          <a:extLst>
            <a:ext uri="{FF2B5EF4-FFF2-40B4-BE49-F238E27FC236}">
              <a16:creationId xmlns:a16="http://schemas.microsoft.com/office/drawing/2014/main" id="{00000000-0008-0000-0300-000067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10300" y="59140725"/>
          <a:ext cx="1619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7</xdr:col>
      <xdr:colOff>79375</xdr:colOff>
      <xdr:row>1</xdr:row>
      <xdr:rowOff>0</xdr:rowOff>
    </xdr:to>
    <xdr:pic>
      <xdr:nvPicPr>
        <xdr:cNvPr id="128872" name="Picture 2" descr="isobn">
          <a:extLst>
            <a:ext uri="{FF2B5EF4-FFF2-40B4-BE49-F238E27FC236}">
              <a16:creationId xmlns:a16="http://schemas.microsoft.com/office/drawing/2014/main" id="{00000000-0008-0000-0300-000068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10300" y="59140725"/>
          <a:ext cx="1619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128873" name="Picture 1" descr="isobn">
          <a:extLst>
            <a:ext uri="{FF2B5EF4-FFF2-40B4-BE49-F238E27FC236}">
              <a16:creationId xmlns:a16="http://schemas.microsoft.com/office/drawing/2014/main" id="{00000000-0008-0000-0300-000069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39350" y="591407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128874" name="Picture 2" descr="isobn">
          <a:extLst>
            <a:ext uri="{FF2B5EF4-FFF2-40B4-BE49-F238E27FC236}">
              <a16:creationId xmlns:a16="http://schemas.microsoft.com/office/drawing/2014/main" id="{00000000-0008-0000-0300-00006A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39350" y="591407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128875" name="Picture 1" descr="isobn">
          <a:extLst>
            <a:ext uri="{FF2B5EF4-FFF2-40B4-BE49-F238E27FC236}">
              <a16:creationId xmlns:a16="http://schemas.microsoft.com/office/drawing/2014/main" id="{00000000-0008-0000-0300-00006B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591407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128876" name="Picture 2" descr="isobn">
          <a:extLst>
            <a:ext uri="{FF2B5EF4-FFF2-40B4-BE49-F238E27FC236}">
              <a16:creationId xmlns:a16="http://schemas.microsoft.com/office/drawing/2014/main" id="{00000000-0008-0000-0300-00006C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591407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685800</xdr:colOff>
      <xdr:row>1</xdr:row>
      <xdr:rowOff>0</xdr:rowOff>
    </xdr:to>
    <xdr:pic>
      <xdr:nvPicPr>
        <xdr:cNvPr id="128877" name="Picture 1" descr="isobn">
          <a:extLst>
            <a:ext uri="{FF2B5EF4-FFF2-40B4-BE49-F238E27FC236}">
              <a16:creationId xmlns:a16="http://schemas.microsoft.com/office/drawing/2014/main" id="{00000000-0008-0000-0300-00006D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95600" y="6663690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685800</xdr:colOff>
      <xdr:row>1</xdr:row>
      <xdr:rowOff>0</xdr:rowOff>
    </xdr:to>
    <xdr:pic>
      <xdr:nvPicPr>
        <xdr:cNvPr id="128878" name="Picture 2" descr="isobn">
          <a:extLst>
            <a:ext uri="{FF2B5EF4-FFF2-40B4-BE49-F238E27FC236}">
              <a16:creationId xmlns:a16="http://schemas.microsoft.com/office/drawing/2014/main" id="{00000000-0008-0000-0300-00006E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95600" y="6663690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7</xdr:col>
      <xdr:colOff>79375</xdr:colOff>
      <xdr:row>1</xdr:row>
      <xdr:rowOff>0</xdr:rowOff>
    </xdr:to>
    <xdr:pic>
      <xdr:nvPicPr>
        <xdr:cNvPr id="128879" name="Picture 1" descr="isobn">
          <a:extLst>
            <a:ext uri="{FF2B5EF4-FFF2-40B4-BE49-F238E27FC236}">
              <a16:creationId xmlns:a16="http://schemas.microsoft.com/office/drawing/2014/main" id="{00000000-0008-0000-0300-00006F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10300" y="59140725"/>
          <a:ext cx="1619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7</xdr:col>
      <xdr:colOff>79375</xdr:colOff>
      <xdr:row>1</xdr:row>
      <xdr:rowOff>0</xdr:rowOff>
    </xdr:to>
    <xdr:pic>
      <xdr:nvPicPr>
        <xdr:cNvPr id="128880" name="Picture 2" descr="isobn">
          <a:extLst>
            <a:ext uri="{FF2B5EF4-FFF2-40B4-BE49-F238E27FC236}">
              <a16:creationId xmlns:a16="http://schemas.microsoft.com/office/drawing/2014/main" id="{00000000-0008-0000-0300-000070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210300" y="59140725"/>
          <a:ext cx="1619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128881" name="Picture 1" descr="isobn">
          <a:extLst>
            <a:ext uri="{FF2B5EF4-FFF2-40B4-BE49-F238E27FC236}">
              <a16:creationId xmlns:a16="http://schemas.microsoft.com/office/drawing/2014/main" id="{00000000-0008-0000-0300-000071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39350" y="591407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128882" name="Picture 2" descr="isobn">
          <a:extLst>
            <a:ext uri="{FF2B5EF4-FFF2-40B4-BE49-F238E27FC236}">
              <a16:creationId xmlns:a16="http://schemas.microsoft.com/office/drawing/2014/main" id="{00000000-0008-0000-0300-000072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39350" y="591407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128883" name="Picture 1" descr="isobn">
          <a:extLst>
            <a:ext uri="{FF2B5EF4-FFF2-40B4-BE49-F238E27FC236}">
              <a16:creationId xmlns:a16="http://schemas.microsoft.com/office/drawing/2014/main" id="{00000000-0008-0000-0300-000073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591407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128884" name="Picture 2" descr="isobn">
          <a:extLst>
            <a:ext uri="{FF2B5EF4-FFF2-40B4-BE49-F238E27FC236}">
              <a16:creationId xmlns:a16="http://schemas.microsoft.com/office/drawing/2014/main" id="{00000000-0008-0000-0300-000074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115550" y="591407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685800</xdr:colOff>
      <xdr:row>1</xdr:row>
      <xdr:rowOff>0</xdr:rowOff>
    </xdr:to>
    <xdr:pic>
      <xdr:nvPicPr>
        <xdr:cNvPr id="128885" name="Picture 1" descr="isobn">
          <a:extLst>
            <a:ext uri="{FF2B5EF4-FFF2-40B4-BE49-F238E27FC236}">
              <a16:creationId xmlns:a16="http://schemas.microsoft.com/office/drawing/2014/main" id="{00000000-0008-0000-0300-000075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95600" y="6663690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685800</xdr:colOff>
      <xdr:row>1</xdr:row>
      <xdr:rowOff>0</xdr:rowOff>
    </xdr:to>
    <xdr:pic>
      <xdr:nvPicPr>
        <xdr:cNvPr id="128886" name="Picture 2" descr="isobn">
          <a:extLst>
            <a:ext uri="{FF2B5EF4-FFF2-40B4-BE49-F238E27FC236}">
              <a16:creationId xmlns:a16="http://schemas.microsoft.com/office/drawing/2014/main" id="{00000000-0008-0000-0300-000076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95600" y="6663690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762000</xdr:colOff>
      <xdr:row>1</xdr:row>
      <xdr:rowOff>0</xdr:rowOff>
    </xdr:to>
    <xdr:pic>
      <xdr:nvPicPr>
        <xdr:cNvPr id="128887" name="Picture 1" descr="isobn">
          <a:extLst>
            <a:ext uri="{FF2B5EF4-FFF2-40B4-BE49-F238E27FC236}">
              <a16:creationId xmlns:a16="http://schemas.microsoft.com/office/drawing/2014/main" id="{00000000-0008-0000-0300-000077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1800" y="822007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762000</xdr:colOff>
      <xdr:row>1</xdr:row>
      <xdr:rowOff>0</xdr:rowOff>
    </xdr:to>
    <xdr:pic>
      <xdr:nvPicPr>
        <xdr:cNvPr id="128888" name="Picture 2" descr="isobn">
          <a:extLst>
            <a:ext uri="{FF2B5EF4-FFF2-40B4-BE49-F238E27FC236}">
              <a16:creationId xmlns:a16="http://schemas.microsoft.com/office/drawing/2014/main" id="{00000000-0008-0000-0300-000078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71800" y="822007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128889" name="Picture 1" descr="isobn">
          <a:extLst>
            <a:ext uri="{FF2B5EF4-FFF2-40B4-BE49-F238E27FC236}">
              <a16:creationId xmlns:a16="http://schemas.microsoft.com/office/drawing/2014/main" id="{00000000-0008-0000-0300-000079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58125" y="822007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128890" name="Picture 2" descr="isobn">
          <a:extLst>
            <a:ext uri="{FF2B5EF4-FFF2-40B4-BE49-F238E27FC236}">
              <a16:creationId xmlns:a16="http://schemas.microsoft.com/office/drawing/2014/main" id="{00000000-0008-0000-0300-00007A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58125" y="822007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128891" name="Picture 1" descr="isobn">
          <a:extLst>
            <a:ext uri="{FF2B5EF4-FFF2-40B4-BE49-F238E27FC236}">
              <a16:creationId xmlns:a16="http://schemas.microsoft.com/office/drawing/2014/main" id="{00000000-0008-0000-0300-00007B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05625" y="896588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128892" name="Picture 2" descr="isobn">
          <a:extLst>
            <a:ext uri="{FF2B5EF4-FFF2-40B4-BE49-F238E27FC236}">
              <a16:creationId xmlns:a16="http://schemas.microsoft.com/office/drawing/2014/main" id="{00000000-0008-0000-0300-00007C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05625" y="896588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128893" name="Picture 1" descr="isobn">
          <a:extLst>
            <a:ext uri="{FF2B5EF4-FFF2-40B4-BE49-F238E27FC236}">
              <a16:creationId xmlns:a16="http://schemas.microsoft.com/office/drawing/2014/main" id="{00000000-0008-0000-0300-00007D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05625" y="897350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128894" name="Picture 2" descr="isobn">
          <a:extLst>
            <a:ext uri="{FF2B5EF4-FFF2-40B4-BE49-F238E27FC236}">
              <a16:creationId xmlns:a16="http://schemas.microsoft.com/office/drawing/2014/main" id="{00000000-0008-0000-0300-00007E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05625" y="897350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128895" name="Picture 1" descr="isobn">
          <a:extLst>
            <a:ext uri="{FF2B5EF4-FFF2-40B4-BE49-F238E27FC236}">
              <a16:creationId xmlns:a16="http://schemas.microsoft.com/office/drawing/2014/main" id="{00000000-0008-0000-0300-00007F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58125" y="906875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128896" name="Picture 2" descr="isobn">
          <a:extLst>
            <a:ext uri="{FF2B5EF4-FFF2-40B4-BE49-F238E27FC236}">
              <a16:creationId xmlns:a16="http://schemas.microsoft.com/office/drawing/2014/main" id="{00000000-0008-0000-0300-000080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15275" y="9003030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128897" name="Picture 2" descr="isobn">
          <a:extLst>
            <a:ext uri="{FF2B5EF4-FFF2-40B4-BE49-F238E27FC236}">
              <a16:creationId xmlns:a16="http://schemas.microsoft.com/office/drawing/2014/main" id="{00000000-0008-0000-0300-000081F7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58125" y="8990647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35" name="Picture 1" descr="isobn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714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36" name="Picture 2" descr="isobn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714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37" name="Picture 1" descr="isobn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714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38" name="Picture 2" descr="isobn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714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757555</xdr:colOff>
      <xdr:row>0</xdr:row>
      <xdr:rowOff>2286</xdr:rowOff>
    </xdr:to>
    <xdr:pic>
      <xdr:nvPicPr>
        <xdr:cNvPr id="39" name="Picture 1" descr="isobn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17145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757555</xdr:colOff>
      <xdr:row>0</xdr:row>
      <xdr:rowOff>2286</xdr:rowOff>
    </xdr:to>
    <xdr:pic>
      <xdr:nvPicPr>
        <xdr:cNvPr id="40" name="Picture 2" descr="isobn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17145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428625</xdr:colOff>
      <xdr:row>1</xdr:row>
      <xdr:rowOff>0</xdr:rowOff>
    </xdr:to>
    <xdr:pic>
      <xdr:nvPicPr>
        <xdr:cNvPr id="41" name="Picture 1" descr="isobn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62725" y="61741050"/>
          <a:ext cx="1619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428625</xdr:colOff>
      <xdr:row>1</xdr:row>
      <xdr:rowOff>0</xdr:rowOff>
    </xdr:to>
    <xdr:pic>
      <xdr:nvPicPr>
        <xdr:cNvPr id="42" name="Picture 2" descr="isobn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62725" y="61741050"/>
          <a:ext cx="1619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43" name="Picture 1" descr="isobn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63250" y="617410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44" name="Picture 2" descr="isobn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63250" y="617410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45" name="Picture 1" descr="isobn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839450" y="617410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46" name="Picture 2" descr="isobn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839450" y="617410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685800</xdr:colOff>
      <xdr:row>1</xdr:row>
      <xdr:rowOff>0</xdr:rowOff>
    </xdr:to>
    <xdr:pic>
      <xdr:nvPicPr>
        <xdr:cNvPr id="47" name="Picture 1" descr="isobn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692372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685800</xdr:colOff>
      <xdr:row>1</xdr:row>
      <xdr:rowOff>0</xdr:rowOff>
    </xdr:to>
    <xdr:pic>
      <xdr:nvPicPr>
        <xdr:cNvPr id="48" name="Picture 2" descr="isobn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692372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428625</xdr:colOff>
      <xdr:row>1</xdr:row>
      <xdr:rowOff>0</xdr:rowOff>
    </xdr:to>
    <xdr:pic>
      <xdr:nvPicPr>
        <xdr:cNvPr id="49" name="Picture 1" descr="isobn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62725" y="61741050"/>
          <a:ext cx="1619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428625</xdr:colOff>
      <xdr:row>1</xdr:row>
      <xdr:rowOff>0</xdr:rowOff>
    </xdr:to>
    <xdr:pic>
      <xdr:nvPicPr>
        <xdr:cNvPr id="50" name="Picture 2" descr="isobn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562725" y="61741050"/>
          <a:ext cx="16192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51" name="Picture 1" descr="isobn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63250" y="617410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52" name="Picture 2" descr="isobn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63250" y="617410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53" name="Picture 1" descr="isobn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839450" y="617410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54" name="Picture 2" descr="isobn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839450" y="617410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685800</xdr:colOff>
      <xdr:row>1</xdr:row>
      <xdr:rowOff>0</xdr:rowOff>
    </xdr:to>
    <xdr:pic>
      <xdr:nvPicPr>
        <xdr:cNvPr id="55" name="Picture 1" descr="isobn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692372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685800</xdr:colOff>
      <xdr:row>1</xdr:row>
      <xdr:rowOff>0</xdr:rowOff>
    </xdr:to>
    <xdr:pic>
      <xdr:nvPicPr>
        <xdr:cNvPr id="56" name="Picture 2" descr="isobn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692372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762000</xdr:colOff>
      <xdr:row>1</xdr:row>
      <xdr:rowOff>0</xdr:rowOff>
    </xdr:to>
    <xdr:pic>
      <xdr:nvPicPr>
        <xdr:cNvPr id="57" name="Picture 1" descr="isobn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845629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762000</xdr:colOff>
      <xdr:row>1</xdr:row>
      <xdr:rowOff>0</xdr:rowOff>
    </xdr:to>
    <xdr:pic>
      <xdr:nvPicPr>
        <xdr:cNvPr id="58" name="Picture 2" descr="isobn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845629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59" name="Picture 1" descr="isobn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648700" y="845629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60" name="Picture 2" descr="isobn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648700" y="8456295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61" name="Picture 1" descr="isobn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96200" y="920210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62" name="Picture 2" descr="isobn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96200" y="920210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63" name="Picture 1" descr="isobn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96200" y="920972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64" name="Picture 2" descr="isobn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96200" y="920972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65" name="Picture 1" descr="isobn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648700" y="93049725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685800</xdr:colOff>
      <xdr:row>1</xdr:row>
      <xdr:rowOff>0</xdr:rowOff>
    </xdr:to>
    <xdr:pic>
      <xdr:nvPicPr>
        <xdr:cNvPr id="66" name="Picture 2" descr="isobn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05850" y="92392500"/>
          <a:ext cx="685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74" name="Picture 1" descr="isobn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75" name="Picture 2" descr="isobn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76" name="Picture 1" descr="isobn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77" name="Picture 2" descr="isobn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757555</xdr:colOff>
      <xdr:row>0</xdr:row>
      <xdr:rowOff>2286</xdr:rowOff>
    </xdr:to>
    <xdr:pic>
      <xdr:nvPicPr>
        <xdr:cNvPr id="78" name="Picture 1" descr="isobn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757555</xdr:colOff>
      <xdr:row>0</xdr:row>
      <xdr:rowOff>2286</xdr:rowOff>
    </xdr:to>
    <xdr:pic>
      <xdr:nvPicPr>
        <xdr:cNvPr id="79" name="Picture 2" descr="isobn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80" name="Picture 1" descr="isobn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8859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81" name="Picture 2" descr="isobn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8859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82" name="Picture 1" descr="isobn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8859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83" name="Picture 2" descr="isobn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8859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757555</xdr:colOff>
      <xdr:row>1</xdr:row>
      <xdr:rowOff>0</xdr:rowOff>
    </xdr:to>
    <xdr:pic>
      <xdr:nvPicPr>
        <xdr:cNvPr id="84" name="Picture 1" descr="isobn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188595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757555</xdr:colOff>
      <xdr:row>1</xdr:row>
      <xdr:rowOff>0</xdr:rowOff>
    </xdr:to>
    <xdr:pic>
      <xdr:nvPicPr>
        <xdr:cNvPr id="85" name="Picture 2" descr="isobn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188595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86" name="Picture 1" descr="isobn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685925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87" name="Picture 2" descr="isobn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685925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88" name="Picture 1" descr="isobn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685925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89" name="Picture 2" descr="isobn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685925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757555</xdr:colOff>
      <xdr:row>1</xdr:row>
      <xdr:rowOff>0</xdr:rowOff>
    </xdr:to>
    <xdr:pic>
      <xdr:nvPicPr>
        <xdr:cNvPr id="90" name="Picture 1" descr="isobn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1685925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757555</xdr:colOff>
      <xdr:row>1</xdr:row>
      <xdr:rowOff>0</xdr:rowOff>
    </xdr:to>
    <xdr:pic>
      <xdr:nvPicPr>
        <xdr:cNvPr id="91" name="Picture 2" descr="isobn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1685925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92" name="Picture 1" descr="isobn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8859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93" name="Picture 2" descr="isobn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8859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94" name="Picture 1" descr="isobn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8859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95" name="Picture 2" descr="isobn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88595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757555</xdr:colOff>
      <xdr:row>1</xdr:row>
      <xdr:rowOff>0</xdr:rowOff>
    </xdr:to>
    <xdr:pic>
      <xdr:nvPicPr>
        <xdr:cNvPr id="96" name="Picture 1" descr="isobn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188595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757555</xdr:colOff>
      <xdr:row>1</xdr:row>
      <xdr:rowOff>0</xdr:rowOff>
    </xdr:to>
    <xdr:pic>
      <xdr:nvPicPr>
        <xdr:cNvPr id="97" name="Picture 2" descr="isobn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188595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98" name="Picture 1" descr="isobn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685925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99" name="Picture 2" descr="isobn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685925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100" name="Picture 1" descr="isobn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685925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101" name="Picture 2" descr="isobn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181350" y="1685925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757555</xdr:colOff>
      <xdr:row>1</xdr:row>
      <xdr:rowOff>0</xdr:rowOff>
    </xdr:to>
    <xdr:pic>
      <xdr:nvPicPr>
        <xdr:cNvPr id="102" name="Picture 1" descr="isobn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1685925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757555</xdr:colOff>
      <xdr:row>1</xdr:row>
      <xdr:rowOff>0</xdr:rowOff>
    </xdr:to>
    <xdr:pic>
      <xdr:nvPicPr>
        <xdr:cNvPr id="103" name="Picture 2" descr="isobn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57550" y="1685925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104" name="Picture 1" descr="isobn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105" name="Picture 2" descr="isobn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106" name="Picture 1" descr="isobn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107" name="Picture 2" descr="isobn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757555</xdr:colOff>
      <xdr:row>0</xdr:row>
      <xdr:rowOff>2286</xdr:rowOff>
    </xdr:to>
    <xdr:pic>
      <xdr:nvPicPr>
        <xdr:cNvPr id="108" name="Picture 1" descr="isobn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757555</xdr:colOff>
      <xdr:row>0</xdr:row>
      <xdr:rowOff>2286</xdr:rowOff>
    </xdr:to>
    <xdr:pic>
      <xdr:nvPicPr>
        <xdr:cNvPr id="109" name="Picture 2" descr="isobn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110" name="Picture 1" descr="isobn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111" name="Picture 2" descr="isobn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112" name="Picture 1" descr="isobn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113" name="Picture 2" descr="isobn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757555</xdr:colOff>
      <xdr:row>0</xdr:row>
      <xdr:rowOff>2286</xdr:rowOff>
    </xdr:to>
    <xdr:pic>
      <xdr:nvPicPr>
        <xdr:cNvPr id="114" name="Picture 1" descr="isobn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757555</xdr:colOff>
      <xdr:row>0</xdr:row>
      <xdr:rowOff>2286</xdr:rowOff>
    </xdr:to>
    <xdr:pic>
      <xdr:nvPicPr>
        <xdr:cNvPr id="115" name="Picture 2" descr="isobn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116" name="Picture 1" descr="isobn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117" name="Picture 2" descr="isobn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118" name="Picture 1" descr="isobn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119" name="Picture 2" descr="isobn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757555</xdr:colOff>
      <xdr:row>0</xdr:row>
      <xdr:rowOff>2286</xdr:rowOff>
    </xdr:to>
    <xdr:pic>
      <xdr:nvPicPr>
        <xdr:cNvPr id="120" name="Picture 1" descr="isobn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757555</xdr:colOff>
      <xdr:row>0</xdr:row>
      <xdr:rowOff>2286</xdr:rowOff>
    </xdr:to>
    <xdr:pic>
      <xdr:nvPicPr>
        <xdr:cNvPr id="121" name="Picture 2" descr="isobn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122" name="Picture 1" descr="isobn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123" name="Picture 2" descr="isobn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124" name="Picture 1" descr="isobn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684276</xdr:colOff>
      <xdr:row>0</xdr:row>
      <xdr:rowOff>2286</xdr:rowOff>
    </xdr:to>
    <xdr:pic>
      <xdr:nvPicPr>
        <xdr:cNvPr id="125" name="Picture 2" descr="isobn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0"/>
          <a:ext cx="684276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757555</xdr:colOff>
      <xdr:row>0</xdr:row>
      <xdr:rowOff>2286</xdr:rowOff>
    </xdr:to>
    <xdr:pic>
      <xdr:nvPicPr>
        <xdr:cNvPr id="126" name="Picture 1" descr="isobn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0</xdr:row>
      <xdr:rowOff>0</xdr:rowOff>
    </xdr:from>
    <xdr:to>
      <xdr:col>2</xdr:col>
      <xdr:colOff>757555</xdr:colOff>
      <xdr:row>0</xdr:row>
      <xdr:rowOff>2286</xdr:rowOff>
    </xdr:to>
    <xdr:pic>
      <xdr:nvPicPr>
        <xdr:cNvPr id="127" name="Picture 2" descr="isobn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0"/>
          <a:ext cx="681355" cy="22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128" name="Picture 1" descr="isobn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129" name="Picture 2" descr="isobn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130" name="Picture 1" descr="isobn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131" name="Picture 2" descr="isobn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757555</xdr:colOff>
      <xdr:row>1</xdr:row>
      <xdr:rowOff>0</xdr:rowOff>
    </xdr:to>
    <xdr:pic>
      <xdr:nvPicPr>
        <xdr:cNvPr id="132" name="Picture 1" descr="isobn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1704975"/>
          <a:ext cx="6813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757555</xdr:colOff>
      <xdr:row>1</xdr:row>
      <xdr:rowOff>0</xdr:rowOff>
    </xdr:to>
    <xdr:pic>
      <xdr:nvPicPr>
        <xdr:cNvPr id="133" name="Picture 2" descr="isobn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1704975"/>
          <a:ext cx="6813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134" name="Picture 1" descr="isobn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135" name="Picture 2" descr="isobn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136" name="Picture 1" descr="isobn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137" name="Picture 2" descr="isobn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757555</xdr:colOff>
      <xdr:row>1</xdr:row>
      <xdr:rowOff>0</xdr:rowOff>
    </xdr:to>
    <xdr:pic>
      <xdr:nvPicPr>
        <xdr:cNvPr id="138" name="Picture 1" descr="isobn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1704975"/>
          <a:ext cx="6813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757555</xdr:colOff>
      <xdr:row>1</xdr:row>
      <xdr:rowOff>0</xdr:rowOff>
    </xdr:to>
    <xdr:pic>
      <xdr:nvPicPr>
        <xdr:cNvPr id="139" name="Picture 2" descr="isobn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1704975"/>
          <a:ext cx="6813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140" name="Picture 1" descr="isobn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141" name="Picture 2" descr="isobn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142" name="Picture 1" descr="isobn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143" name="Picture 2" descr="isobn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757555</xdr:colOff>
      <xdr:row>1</xdr:row>
      <xdr:rowOff>0</xdr:rowOff>
    </xdr:to>
    <xdr:pic>
      <xdr:nvPicPr>
        <xdr:cNvPr id="144" name="Picture 1" descr="isobn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1704975"/>
          <a:ext cx="6813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757555</xdr:colOff>
      <xdr:row>1</xdr:row>
      <xdr:rowOff>0</xdr:rowOff>
    </xdr:to>
    <xdr:pic>
      <xdr:nvPicPr>
        <xdr:cNvPr id="145" name="Picture 2" descr="isobn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1704975"/>
          <a:ext cx="6813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146" name="Picture 1" descr="isobn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147" name="Picture 2" descr="isobn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148" name="Picture 1" descr="isobn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684276</xdr:colOff>
      <xdr:row>1</xdr:row>
      <xdr:rowOff>0</xdr:rowOff>
    </xdr:to>
    <xdr:pic>
      <xdr:nvPicPr>
        <xdr:cNvPr id="149" name="Picture 2" descr="isobn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704975"/>
          <a:ext cx="684276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757555</xdr:colOff>
      <xdr:row>1</xdr:row>
      <xdr:rowOff>0</xdr:rowOff>
    </xdr:to>
    <xdr:pic>
      <xdr:nvPicPr>
        <xdr:cNvPr id="150" name="Picture 1" descr="isobn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1704975"/>
          <a:ext cx="6813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76200</xdr:colOff>
      <xdr:row>1</xdr:row>
      <xdr:rowOff>0</xdr:rowOff>
    </xdr:from>
    <xdr:to>
      <xdr:col>2</xdr:col>
      <xdr:colOff>757555</xdr:colOff>
      <xdr:row>1</xdr:row>
      <xdr:rowOff>0</xdr:rowOff>
    </xdr:to>
    <xdr:pic>
      <xdr:nvPicPr>
        <xdr:cNvPr id="151" name="Picture 2" descr="isobn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29050" y="1704975"/>
          <a:ext cx="6813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28575</xdr:rowOff>
        </xdr:from>
        <xdr:to>
          <xdr:col>1</xdr:col>
          <xdr:colOff>885825</xdr:colOff>
          <xdr:row>1</xdr:row>
          <xdr:rowOff>76200</xdr:rowOff>
        </xdr:to>
        <xdr:sp macro="" textlink="">
          <xdr:nvSpPr>
            <xdr:cNvPr id="116737" name="Button 1" hidden="1">
              <a:extLst>
                <a:ext uri="{63B3BB69-23CF-44E3-9099-C40C66FF867C}">
                  <a14:compatExt spid="_x0000_s116737"/>
                </a:ext>
                <a:ext uri="{FF2B5EF4-FFF2-40B4-BE49-F238E27FC236}">
                  <a16:creationId xmlns:a16="http://schemas.microsoft.com/office/drawing/2014/main" id="{00000000-0008-0000-0400-000001C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L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Volver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28575</xdr:rowOff>
        </xdr:from>
        <xdr:to>
          <xdr:col>1</xdr:col>
          <xdr:colOff>885825</xdr:colOff>
          <xdr:row>1</xdr:row>
          <xdr:rowOff>76200</xdr:rowOff>
        </xdr:to>
        <xdr:sp macro="" textlink="">
          <xdr:nvSpPr>
            <xdr:cNvPr id="116738" name="Button 2" hidden="1">
              <a:extLst>
                <a:ext uri="{63B3BB69-23CF-44E3-9099-C40C66FF867C}">
                  <a14:compatExt spid="_x0000_s116738"/>
                </a:ext>
                <a:ext uri="{FF2B5EF4-FFF2-40B4-BE49-F238E27FC236}">
                  <a16:creationId xmlns:a16="http://schemas.microsoft.com/office/drawing/2014/main" id="{00000000-0008-0000-0400-000002C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L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Volver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28575</xdr:rowOff>
        </xdr:from>
        <xdr:to>
          <xdr:col>0</xdr:col>
          <xdr:colOff>885825</xdr:colOff>
          <xdr:row>1</xdr:row>
          <xdr:rowOff>76200</xdr:rowOff>
        </xdr:to>
        <xdr:sp macro="" textlink="">
          <xdr:nvSpPr>
            <xdr:cNvPr id="112641" name="Button 1" hidden="1">
              <a:extLst>
                <a:ext uri="{63B3BB69-23CF-44E3-9099-C40C66FF867C}">
                  <a14:compatExt spid="_x0000_s112641"/>
                </a:ext>
                <a:ext uri="{FF2B5EF4-FFF2-40B4-BE49-F238E27FC236}">
                  <a16:creationId xmlns:a16="http://schemas.microsoft.com/office/drawing/2014/main" id="{00000000-0008-0000-0500-000001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L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Volver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28575</xdr:rowOff>
        </xdr:from>
        <xdr:to>
          <xdr:col>0</xdr:col>
          <xdr:colOff>885825</xdr:colOff>
          <xdr:row>1</xdr:row>
          <xdr:rowOff>76200</xdr:rowOff>
        </xdr:to>
        <xdr:sp macro="" textlink="">
          <xdr:nvSpPr>
            <xdr:cNvPr id="112642" name="Button 2" hidden="1">
              <a:extLst>
                <a:ext uri="{63B3BB69-23CF-44E3-9099-C40C66FF867C}">
                  <a14:compatExt spid="_x0000_s112642"/>
                </a:ext>
                <a:ext uri="{FF2B5EF4-FFF2-40B4-BE49-F238E27FC236}">
                  <a16:creationId xmlns:a16="http://schemas.microsoft.com/office/drawing/2014/main" id="{00000000-0008-0000-0500-000002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L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Volver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F5C2F9-5F9D-43C9-BE47-D2ABD46BF56E}" name="Tabla13423" displayName="Tabla13423" ref="A3:AC123" totalsRowShown="0" headerRowDxfId="104" dataDxfId="103">
  <autoFilter ref="A3:AC123" xr:uid="{39F5C2F9-5F9D-43C9-BE47-D2ABD46BF56E}"/>
  <tableColumns count="29">
    <tableColumn id="1" xr3:uid="{F99FA406-512F-4EB5-8E52-A034B012C102}" name="RUT" dataDxfId="102" totalsRowDxfId="101"/>
    <tableColumn id="29" xr3:uid="{62833D04-0AD0-4637-9E7C-407918616B6B}" name="RUT2" dataDxfId="100" totalsRowDxfId="99"/>
    <tableColumn id="2" xr3:uid="{9AC3BD4B-D323-4D21-B992-6577C1CF240F}" name="Razon Social" dataDxfId="98" totalsRowDxfId="97"/>
    <tableColumn id="3" xr3:uid="{03403D8F-C7A1-4151-8743-4872072C3EEA}" name="Ciudad" dataDxfId="96" totalsRowDxfId="95"/>
    <tableColumn id="4" xr3:uid="{8C0DAFEE-23DC-45D4-BDDC-C5B433D0FEF2}" name="Direccion" dataDxfId="94" totalsRowDxfId="93"/>
    <tableColumn id="5" xr3:uid="{9D79329C-0E52-4A77-92E8-CADFD5BDAFE6}" name="Fono" dataDxfId="92" totalsRowDxfId="91"/>
    <tableColumn id="6" xr3:uid="{7E78E185-FDB8-42D5-9962-D3CAC3B0FC42}" name="Vendedor" dataDxfId="90" totalsRowDxfId="89"/>
    <tableColumn id="7" xr3:uid="{361CFB64-54AF-4353-926D-7103D86DEE2F}" name="Correo" dataDxfId="88"/>
    <tableColumn id="8" xr3:uid="{C5C8CFC5-3C97-4500-A55C-EE37F0D6DBD5}" name="WWW" dataDxfId="87" totalsRowDxfId="86"/>
    <tableColumn id="9" xr3:uid="{64C69E6C-E8A7-40E9-B285-37597BCB7FA6}" name="Contacto" dataDxfId="85" totalsRowDxfId="84"/>
    <tableColumn id="10" xr3:uid="{5DAEA150-8DBC-4670-9924-654E87F3F27A}" name="Cargo" dataDxfId="83" totalsRowDxfId="82"/>
    <tableColumn id="11" xr3:uid="{5E307622-802E-4EE5-A8AB-E5F835269305}" name="GRUPO" dataDxfId="81" totalsRowDxfId="80"/>
    <tableColumn id="12" xr3:uid="{F6DE6E54-AA86-4DA6-B680-89D5C47BBAA5}" name="Credito" dataDxfId="79" totalsRowDxfId="78"/>
    <tableColumn id="13" xr3:uid="{28B79C3C-0842-4336-9964-E9E7FB8A55E7}" name="Transporte" dataDxfId="77" totalsRowDxfId="76"/>
    <tableColumn id="14" xr3:uid="{DDE117B7-4E84-462B-841B-FA3D7330A591}" name="BLOQUEADO" dataDxfId="75" totalsRowDxfId="74"/>
    <tableColumn id="15" xr3:uid="{1AD76CE8-A4D4-41A8-9FF7-97207D857FD2}" name="Dcto" dataDxfId="73" totalsRowDxfId="72"/>
    <tableColumn id="16" xr3:uid="{83238E00-4735-4BB3-A1CC-6DBE38221246}" name="CONDICION DE PAGO" dataDxfId="71" totalsRowDxfId="70"/>
    <tableColumn id="17" xr3:uid="{DDAD9040-2029-47D9-B102-3F20B93A13A7}" name="CELULAR" dataDxfId="69" totalsRowDxfId="68"/>
    <tableColumn id="18" xr3:uid="{3A988D95-1042-4AA7-887E-19CCF51899C6}" name="GIRO" dataDxfId="67" totalsRowDxfId="66"/>
    <tableColumn id="19" xr3:uid="{1B8A377D-96CC-49DD-BC33-7C46650E42B1}" name="NOMBRE DE TIENDA" dataDxfId="65" totalsRowDxfId="64"/>
    <tableColumn id="20" xr3:uid="{A03E798A-1B1E-418E-9D70-E7E31A9EFB36}" name="COMUNA" dataDxfId="63" totalsRowDxfId="62"/>
    <tableColumn id="21" xr3:uid="{B8413CD1-8221-4A6E-94FF-A373301D64C8}" name="Observaciones" dataDxfId="61"/>
    <tableColumn id="22" xr3:uid="{9A700847-06AB-4518-87F9-16ED7C9CE83B}" name="Ped_anterior" dataDxfId="60" totalsRowDxfId="59"/>
    <tableColumn id="23" xr3:uid="{765476FA-A069-4195-BA37-D08B238456A4}" name="Cantidad" dataDxfId="58" totalsRowDxfId="57"/>
    <tableColumn id="24" xr3:uid="{0B388D15-B128-4B66-AD99-081DCC740322}" name="Despacho" dataDxfId="56" totalsRowDxfId="55"/>
    <tableColumn id="25" xr3:uid="{7FA073DF-8659-4C8A-8C55-E25B98377E10}" name="Saldo" dataDxfId="54" totalsRowDxfId="53"/>
    <tableColumn id="26" xr3:uid="{7507ECA0-A4B0-4BDB-B186-D4A6F91F0604}" name="% Despacho" dataDxfId="52" dataCellStyle="Porcentaje"/>
    <tableColumn id="27" xr3:uid="{96CD1C3E-50A4-4773-8B9C-0FB7B3D74FF1}" name="Valor" dataDxfId="51" totalsRowDxfId="50"/>
    <tableColumn id="28" xr3:uid="{4D080A96-3E4F-44F8-96A7-B74D8F227E7E}" name="Meta Cole-38" dataDxfId="49" totalsRowDxfId="4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342" displayName="Tabla1342" ref="A3:AC123" totalsRowShown="0" headerRowDxfId="161" dataDxfId="160">
  <autoFilter ref="A3:AC123" xr:uid="{00000000-0009-0000-0100-000001000000}"/>
  <tableColumns count="29">
    <tableColumn id="1" xr3:uid="{00000000-0010-0000-0000-000001000000}" name="RUT" dataDxfId="159" totalsRowDxfId="158"/>
    <tableColumn id="29" xr3:uid="{867FBC6B-4F0F-471A-9871-75601A81C66E}" name="RUT2" dataDxfId="157" totalsRowDxfId="156"/>
    <tableColumn id="2" xr3:uid="{00000000-0010-0000-0000-000002000000}" name="Razon Social" dataDxfId="155" totalsRowDxfId="154"/>
    <tableColumn id="3" xr3:uid="{00000000-0010-0000-0000-000003000000}" name="Ciudad" dataDxfId="153" totalsRowDxfId="152"/>
    <tableColumn id="4" xr3:uid="{00000000-0010-0000-0000-000004000000}" name="Direccion" dataDxfId="151" totalsRowDxfId="150"/>
    <tableColumn id="5" xr3:uid="{00000000-0010-0000-0000-000005000000}" name="Fono" dataDxfId="149" totalsRowDxfId="148"/>
    <tableColumn id="6" xr3:uid="{00000000-0010-0000-0000-000006000000}" name="Vendedor" dataDxfId="147" totalsRowDxfId="146"/>
    <tableColumn id="7" xr3:uid="{00000000-0010-0000-0000-000007000000}" name="Correo" dataDxfId="145"/>
    <tableColumn id="8" xr3:uid="{00000000-0010-0000-0000-000008000000}" name="WWW" dataDxfId="144" totalsRowDxfId="143"/>
    <tableColumn id="9" xr3:uid="{00000000-0010-0000-0000-000009000000}" name="Contacto" dataDxfId="142" totalsRowDxfId="141"/>
    <tableColumn id="10" xr3:uid="{00000000-0010-0000-0000-00000A000000}" name="Cargo" dataDxfId="140" totalsRowDxfId="139"/>
    <tableColumn id="11" xr3:uid="{00000000-0010-0000-0000-00000B000000}" name="GRUPO" dataDxfId="138" totalsRowDxfId="137"/>
    <tableColumn id="12" xr3:uid="{00000000-0010-0000-0000-00000C000000}" name="Credito" dataDxfId="136" totalsRowDxfId="135"/>
    <tableColumn id="13" xr3:uid="{00000000-0010-0000-0000-00000D000000}" name="Transporte" dataDxfId="134" totalsRowDxfId="133"/>
    <tableColumn id="14" xr3:uid="{00000000-0010-0000-0000-00000E000000}" name="BLOQUEADO" dataDxfId="132" totalsRowDxfId="131"/>
    <tableColumn id="15" xr3:uid="{00000000-0010-0000-0000-00000F000000}" name="Dcto" dataDxfId="130" totalsRowDxfId="129"/>
    <tableColumn id="16" xr3:uid="{00000000-0010-0000-0000-000010000000}" name="CONDICION DE PAGO" dataDxfId="128" totalsRowDxfId="127"/>
    <tableColumn id="17" xr3:uid="{00000000-0010-0000-0000-000011000000}" name="CELULAR" dataDxfId="126" totalsRowDxfId="125"/>
    <tableColumn id="18" xr3:uid="{00000000-0010-0000-0000-000012000000}" name="GIRO" dataDxfId="124" totalsRowDxfId="123"/>
    <tableColumn id="19" xr3:uid="{00000000-0010-0000-0000-000013000000}" name="NOMBRE DE TIENDA" dataDxfId="122" totalsRowDxfId="121"/>
    <tableColumn id="20" xr3:uid="{00000000-0010-0000-0000-000014000000}" name="COMUNA" dataDxfId="120" totalsRowDxfId="119"/>
    <tableColumn id="21" xr3:uid="{00000000-0010-0000-0000-000015000000}" name="Observaciones" dataDxfId="118"/>
    <tableColumn id="22" xr3:uid="{51D8A761-2AB4-45CF-8D47-589D9DD3004E}" name="Ped_anterior" dataDxfId="117" totalsRowDxfId="116"/>
    <tableColumn id="23" xr3:uid="{4F6079E4-E7CA-4E1D-8523-B3F164061958}" name="Cantidad" dataDxfId="115" totalsRowDxfId="114"/>
    <tableColumn id="24" xr3:uid="{BF06EDFD-5111-4C84-826C-EFE8EDF9616D}" name="Despacho" dataDxfId="113" totalsRowDxfId="112"/>
    <tableColumn id="25" xr3:uid="{73095ED9-7E5E-4FD7-AB4E-19AC9E2A4ED3}" name="Saldo" dataDxfId="111" totalsRowDxfId="110"/>
    <tableColumn id="26" xr3:uid="{555C8AC0-4078-4BA5-BA13-D43600B607C5}" name="% Despacho" dataDxfId="109" dataCellStyle="Porcentaje"/>
    <tableColumn id="27" xr3:uid="{8B36DCDF-D467-481A-A9D4-172A70D01854}" name="Valor" dataDxfId="108" totalsRowDxfId="107"/>
    <tableColumn id="28" xr3:uid="{832B2277-6F50-438A-AF6B-27A459656D0C}" name="Meta Cole-38" dataDxfId="106" totalsRowDxfId="10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tiendascycecilia@gmail.com" TargetMode="External"/><Relationship Id="rId21" Type="http://schemas.openxmlformats.org/officeDocument/2006/relationships/hyperlink" Target="mailto:befupi@gmail.com" TargetMode="External"/><Relationship Id="rId42" Type="http://schemas.openxmlformats.org/officeDocument/2006/relationships/hyperlink" Target="mailto:GERMANILINARES@GERMANI.CL" TargetMode="External"/><Relationship Id="rId47" Type="http://schemas.openxmlformats.org/officeDocument/2006/relationships/hyperlink" Target="mailto:MARISOL_DURAN_N@HOTMAIL.COM" TargetMode="External"/><Relationship Id="rId63" Type="http://schemas.openxmlformats.org/officeDocument/2006/relationships/hyperlink" Target="mailto:joyas_veronica@hotmail.com" TargetMode="External"/><Relationship Id="rId68" Type="http://schemas.openxmlformats.org/officeDocument/2006/relationships/hyperlink" Target="mailto:VICTORHVIVAR@GRUPOVIO.CL" TargetMode="External"/><Relationship Id="rId2" Type="http://schemas.openxmlformats.org/officeDocument/2006/relationships/hyperlink" Target="mailto:svargas@dimarsa.cl" TargetMode="External"/><Relationship Id="rId16" Type="http://schemas.openxmlformats.org/officeDocument/2006/relationships/hyperlink" Target="mailto:paulafsiegmunds@gmail.com" TargetMode="External"/><Relationship Id="rId29" Type="http://schemas.openxmlformats.org/officeDocument/2006/relationships/hyperlink" Target="mailto:POLA.F@HOTMAIL.CL" TargetMode="External"/><Relationship Id="rId11" Type="http://schemas.openxmlformats.org/officeDocument/2006/relationships/hyperlink" Target="mailto:CAROLINA.CJGC@GMAIL.COM" TargetMode="External"/><Relationship Id="rId24" Type="http://schemas.openxmlformats.org/officeDocument/2006/relationships/hyperlink" Target="mailto:SABAYMILADE@GMAIL.COM" TargetMode="External"/><Relationship Id="rId32" Type="http://schemas.openxmlformats.org/officeDocument/2006/relationships/hyperlink" Target="mailto:TIENDADUSANCHILE@GMAIL.COM" TargetMode="External"/><Relationship Id="rId37" Type="http://schemas.openxmlformats.org/officeDocument/2006/relationships/hyperlink" Target="mailto:NOLBERTO.E.AVLA@GMAIL.COM" TargetMode="External"/><Relationship Id="rId40" Type="http://schemas.openxmlformats.org/officeDocument/2006/relationships/hyperlink" Target="mailto:proveedores.adulto@dolly.cl" TargetMode="External"/><Relationship Id="rId45" Type="http://schemas.openxmlformats.org/officeDocument/2006/relationships/hyperlink" Target="mailto:MARGAGONZALEZFLO@GMAIL.COM" TargetMode="External"/><Relationship Id="rId53" Type="http://schemas.openxmlformats.org/officeDocument/2006/relationships/hyperlink" Target="mailto:OLGAPOBLETECONCHA@GMAIL.COM" TargetMode="External"/><Relationship Id="rId58" Type="http://schemas.openxmlformats.org/officeDocument/2006/relationships/hyperlink" Target="mailto:sallymodasmujer@hotmail.com" TargetMode="External"/><Relationship Id="rId66" Type="http://schemas.openxmlformats.org/officeDocument/2006/relationships/hyperlink" Target="mailto:MAURICIODONOSOMONTOYA@HOTMAIL." TargetMode="External"/><Relationship Id="rId74" Type="http://schemas.openxmlformats.org/officeDocument/2006/relationships/table" Target="../tables/table1.xml"/><Relationship Id="rId5" Type="http://schemas.openxmlformats.org/officeDocument/2006/relationships/hyperlink" Target="mailto:el_pobrediablo@hotmail.com" TargetMode="External"/><Relationship Id="rId61" Type="http://schemas.openxmlformats.org/officeDocument/2006/relationships/hyperlink" Target="mailto:DAFNEVILLALOBOS009@HOTMAIL.COM" TargetMode="External"/><Relationship Id="rId19" Type="http://schemas.openxmlformats.org/officeDocument/2006/relationships/hyperlink" Target="mailto:M.ARMIJO@JAVER.CL" TargetMode="External"/><Relationship Id="rId14" Type="http://schemas.openxmlformats.org/officeDocument/2006/relationships/hyperlink" Target="mailto:MAGONZAL@GMAIL.COM" TargetMode="External"/><Relationship Id="rId22" Type="http://schemas.openxmlformats.org/officeDocument/2006/relationships/hyperlink" Target="mailto:MIRNA_PACHRAB@HOTMAIL.COM" TargetMode="External"/><Relationship Id="rId27" Type="http://schemas.openxmlformats.org/officeDocument/2006/relationships/hyperlink" Target="mailto:mauriciodonosomontoya@hotmail.com" TargetMode="External"/><Relationship Id="rId30" Type="http://schemas.openxmlformats.org/officeDocument/2006/relationships/hyperlink" Target="mailto:e.anabalon@mawi.cl" TargetMode="External"/><Relationship Id="rId35" Type="http://schemas.openxmlformats.org/officeDocument/2006/relationships/hyperlink" Target="mailto:ALEBUVINIC@GLOBALCOM.CL" TargetMode="External"/><Relationship Id="rId43" Type="http://schemas.openxmlformats.org/officeDocument/2006/relationships/hyperlink" Target="mailto:PROVEEDOR@EVITA.CL" TargetMode="External"/><Relationship Id="rId48" Type="http://schemas.openxmlformats.org/officeDocument/2006/relationships/hyperlink" Target="mailto:ignacio.rivas@dimarsa.cl" TargetMode="External"/><Relationship Id="rId56" Type="http://schemas.openxmlformats.org/officeDocument/2006/relationships/hyperlink" Target="http://www.angelesjeans.cl/" TargetMode="External"/><Relationship Id="rId64" Type="http://schemas.openxmlformats.org/officeDocument/2006/relationships/hyperlink" Target="mailto:mili.palma@gmail.com" TargetMode="External"/><Relationship Id="rId69" Type="http://schemas.openxmlformats.org/officeDocument/2006/relationships/printerSettings" Target="../printerSettings/printerSettings3.bin"/><Relationship Id="rId8" Type="http://schemas.openxmlformats.org/officeDocument/2006/relationships/hyperlink" Target="mailto:oyarzunborquezmonica@hotmail.Com" TargetMode="External"/><Relationship Id="rId51" Type="http://schemas.openxmlformats.org/officeDocument/2006/relationships/hyperlink" Target="mailto:IGNACIO.RIVAS@DIMARSA.CL" TargetMode="External"/><Relationship Id="rId72" Type="http://schemas.openxmlformats.org/officeDocument/2006/relationships/ctrlProp" Target="../ctrlProps/ctrlProp1.xml"/><Relationship Id="rId3" Type="http://schemas.openxmlformats.org/officeDocument/2006/relationships/hyperlink" Target="mailto:victoriaf99@live.cl" TargetMode="External"/><Relationship Id="rId12" Type="http://schemas.openxmlformats.org/officeDocument/2006/relationships/hyperlink" Target="mailto:juana.arayacampusano@gmail.com" TargetMode="External"/><Relationship Id="rId17" Type="http://schemas.openxmlformats.org/officeDocument/2006/relationships/hyperlink" Target="mailto:CECILIA.MOHICANO@GMAIL.COM" TargetMode="External"/><Relationship Id="rId25" Type="http://schemas.openxmlformats.org/officeDocument/2006/relationships/hyperlink" Target="mailto:EPI.MARCO@GMAIL.COM" TargetMode="External"/><Relationship Id="rId33" Type="http://schemas.openxmlformats.org/officeDocument/2006/relationships/hyperlink" Target="mailto:JOHANNALEIVA325@GMAIL.COM" TargetMode="External"/><Relationship Id="rId38" Type="http://schemas.openxmlformats.org/officeDocument/2006/relationships/hyperlink" Target="mailto:MARCELOC@MULTICENTRO.CL" TargetMode="External"/><Relationship Id="rId46" Type="http://schemas.openxmlformats.org/officeDocument/2006/relationships/hyperlink" Target="mailto:NOELIAGARRIDO33@GMAIL.COM" TargetMode="External"/><Relationship Id="rId59" Type="http://schemas.openxmlformats.org/officeDocument/2006/relationships/hyperlink" Target="mailto:TIENDAJOSSELIN@HOTMAIL.COM" TargetMode="External"/><Relationship Id="rId67" Type="http://schemas.openxmlformats.org/officeDocument/2006/relationships/hyperlink" Target="mailto:PARRAEL2@YAHOO.ES" TargetMode="External"/><Relationship Id="rId20" Type="http://schemas.openxmlformats.org/officeDocument/2006/relationships/hyperlink" Target="mailto:CAROLINAMIRANDA09@HOTMAIL.COM" TargetMode="External"/><Relationship Id="rId41" Type="http://schemas.openxmlformats.org/officeDocument/2006/relationships/hyperlink" Target="mailto:EMORAGA@GERMANI.CL" TargetMode="External"/><Relationship Id="rId54" Type="http://schemas.openxmlformats.org/officeDocument/2006/relationships/hyperlink" Target="mailto:AURELIO.HUILCA27@HOTMAIL.COM" TargetMode="External"/><Relationship Id="rId62" Type="http://schemas.openxmlformats.org/officeDocument/2006/relationships/hyperlink" Target="mailto:ca_aliaga@hotmail.com" TargetMode="External"/><Relationship Id="rId70" Type="http://schemas.openxmlformats.org/officeDocument/2006/relationships/drawing" Target="../drawings/drawing3.xml"/><Relationship Id="rId75" Type="http://schemas.openxmlformats.org/officeDocument/2006/relationships/comments" Target="../comments1.xml"/><Relationship Id="rId1" Type="http://schemas.openxmlformats.org/officeDocument/2006/relationships/hyperlink" Target="mailto:valentinaboutique01@gmail.com" TargetMode="External"/><Relationship Id="rId6" Type="http://schemas.openxmlformats.org/officeDocument/2006/relationships/hyperlink" Target="mailto:patricia.barria@gmail.com" TargetMode="External"/><Relationship Id="rId15" Type="http://schemas.openxmlformats.org/officeDocument/2006/relationships/hyperlink" Target="mailto:SAHARAANGOL@GMAIL.COM" TargetMode="External"/><Relationship Id="rId23" Type="http://schemas.openxmlformats.org/officeDocument/2006/relationships/hyperlink" Target="mailto:mily.palma@gmail.com" TargetMode="External"/><Relationship Id="rId28" Type="http://schemas.openxmlformats.org/officeDocument/2006/relationships/hyperlink" Target="mailto:tiendamodafiel@gmail.com" TargetMode="External"/><Relationship Id="rId36" Type="http://schemas.openxmlformats.org/officeDocument/2006/relationships/hyperlink" Target="mailto:KATTIE.CARRASCO@HOTMAIL.COM" TargetMode="External"/><Relationship Id="rId49" Type="http://schemas.openxmlformats.org/officeDocument/2006/relationships/hyperlink" Target="mailto:IGNACIO.RIVAS@DIMARSA.CL" TargetMode="External"/><Relationship Id="rId57" Type="http://schemas.openxmlformats.org/officeDocument/2006/relationships/hyperlink" Target="mailto:angelafontana.1990@gmail.com" TargetMode="External"/><Relationship Id="rId10" Type="http://schemas.openxmlformats.org/officeDocument/2006/relationships/hyperlink" Target="mailto:g.oltorres91@gmail.com" TargetMode="External"/><Relationship Id="rId31" Type="http://schemas.openxmlformats.org/officeDocument/2006/relationships/hyperlink" Target="mailto:francisco.inostroza70@gmail.com" TargetMode="External"/><Relationship Id="rId44" Type="http://schemas.openxmlformats.org/officeDocument/2006/relationships/hyperlink" Target="mailto:SANDRYANTONIETA@GAMIL.COM" TargetMode="External"/><Relationship Id="rId52" Type="http://schemas.openxmlformats.org/officeDocument/2006/relationships/hyperlink" Target="mailto:marcy.duarte@hotmail.com" TargetMode="External"/><Relationship Id="rId60" Type="http://schemas.openxmlformats.org/officeDocument/2006/relationships/hyperlink" Target="mailto:ceciliarojojimenez@hotmail.com" TargetMode="External"/><Relationship Id="rId65" Type="http://schemas.openxmlformats.org/officeDocument/2006/relationships/hyperlink" Target="mailto:cvegamartino@gmail.com" TargetMode="External"/><Relationship Id="rId73" Type="http://schemas.openxmlformats.org/officeDocument/2006/relationships/ctrlProp" Target="../ctrlProps/ctrlProp2.xml"/><Relationship Id="rId4" Type="http://schemas.openxmlformats.org/officeDocument/2006/relationships/hyperlink" Target="mailto:irmafranciscaromero@gmail.com" TargetMode="External"/><Relationship Id="rId9" Type="http://schemas.openxmlformats.org/officeDocument/2006/relationships/hyperlink" Target="mailto:constanzacontreras1310@gmail.com" TargetMode="External"/><Relationship Id="rId13" Type="http://schemas.openxmlformats.org/officeDocument/2006/relationships/hyperlink" Target="mailto:FORCAELCAMILA@GMAIL.COM" TargetMode="External"/><Relationship Id="rId18" Type="http://schemas.openxmlformats.org/officeDocument/2006/relationships/hyperlink" Target="mailto:BOUTIQUELOSCISNES@GMAIL.COM" TargetMode="External"/><Relationship Id="rId39" Type="http://schemas.openxmlformats.org/officeDocument/2006/relationships/hyperlink" Target="mailto:fernanda.roman@san-antonio.cl" TargetMode="External"/><Relationship Id="rId34" Type="http://schemas.openxmlformats.org/officeDocument/2006/relationships/hyperlink" Target="mailto:PILAR_ANANIAS@HOTMAIL.COM" TargetMode="External"/><Relationship Id="rId50" Type="http://schemas.openxmlformats.org/officeDocument/2006/relationships/hyperlink" Target="mailto:svargas@dimarsa.cl" TargetMode="External"/><Relationship Id="rId55" Type="http://schemas.openxmlformats.org/officeDocument/2006/relationships/hyperlink" Target="mailto:ayanca12@gmail.com" TargetMode="External"/><Relationship Id="rId7" Type="http://schemas.openxmlformats.org/officeDocument/2006/relationships/hyperlink" Target="mailto:tiendayuly@patagoniachile.cl" TargetMode="External"/><Relationship Id="rId7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tiendascycecilia@gmail.com" TargetMode="External"/><Relationship Id="rId21" Type="http://schemas.openxmlformats.org/officeDocument/2006/relationships/hyperlink" Target="mailto:befupi@gmail.com" TargetMode="External"/><Relationship Id="rId42" Type="http://schemas.openxmlformats.org/officeDocument/2006/relationships/hyperlink" Target="mailto:GERMANILINARES@GERMANI.CL" TargetMode="External"/><Relationship Id="rId47" Type="http://schemas.openxmlformats.org/officeDocument/2006/relationships/hyperlink" Target="mailto:MARISOL_DURAN_N@HOTMAIL.COM" TargetMode="External"/><Relationship Id="rId63" Type="http://schemas.openxmlformats.org/officeDocument/2006/relationships/hyperlink" Target="mailto:joyas_veronica@hotmail.com" TargetMode="External"/><Relationship Id="rId68" Type="http://schemas.openxmlformats.org/officeDocument/2006/relationships/hyperlink" Target="mailto:VICTORHVIVAR@GRUPOVIO.CL" TargetMode="External"/><Relationship Id="rId2" Type="http://schemas.openxmlformats.org/officeDocument/2006/relationships/hyperlink" Target="mailto:svargas@dimarsa.cl" TargetMode="External"/><Relationship Id="rId16" Type="http://schemas.openxmlformats.org/officeDocument/2006/relationships/hyperlink" Target="mailto:paulafsiegmunds@gmail.com" TargetMode="External"/><Relationship Id="rId29" Type="http://schemas.openxmlformats.org/officeDocument/2006/relationships/hyperlink" Target="mailto:POLA.F@HOTMAIL.CL" TargetMode="External"/><Relationship Id="rId11" Type="http://schemas.openxmlformats.org/officeDocument/2006/relationships/hyperlink" Target="mailto:CAROLINA.CJGC@GMAIL.COM" TargetMode="External"/><Relationship Id="rId24" Type="http://schemas.openxmlformats.org/officeDocument/2006/relationships/hyperlink" Target="mailto:SABAYMILADE@GMAIL.COM" TargetMode="External"/><Relationship Id="rId32" Type="http://schemas.openxmlformats.org/officeDocument/2006/relationships/hyperlink" Target="mailto:TIENDADUSANCHILE@GMAIL.COM" TargetMode="External"/><Relationship Id="rId37" Type="http://schemas.openxmlformats.org/officeDocument/2006/relationships/hyperlink" Target="mailto:NOLBERTO.E.AVLA@GMAIL.COM" TargetMode="External"/><Relationship Id="rId40" Type="http://schemas.openxmlformats.org/officeDocument/2006/relationships/hyperlink" Target="mailto:proveedores.adulto@dolly.cl" TargetMode="External"/><Relationship Id="rId45" Type="http://schemas.openxmlformats.org/officeDocument/2006/relationships/hyperlink" Target="mailto:MARGAGONZALEZFLO@GMAIL.COM" TargetMode="External"/><Relationship Id="rId53" Type="http://schemas.openxmlformats.org/officeDocument/2006/relationships/hyperlink" Target="mailto:OLGAPOBLETECONCHA@GMAIL.COM" TargetMode="External"/><Relationship Id="rId58" Type="http://schemas.openxmlformats.org/officeDocument/2006/relationships/hyperlink" Target="mailto:sallymodasmujer@hotmail.com" TargetMode="External"/><Relationship Id="rId66" Type="http://schemas.openxmlformats.org/officeDocument/2006/relationships/hyperlink" Target="mailto:MAURICIODONOSOMONTOYA@HOTMAIL." TargetMode="External"/><Relationship Id="rId74" Type="http://schemas.openxmlformats.org/officeDocument/2006/relationships/table" Target="../tables/table2.xml"/><Relationship Id="rId5" Type="http://schemas.openxmlformats.org/officeDocument/2006/relationships/hyperlink" Target="mailto:el_pobrediablo@hotmail.com" TargetMode="External"/><Relationship Id="rId61" Type="http://schemas.openxmlformats.org/officeDocument/2006/relationships/hyperlink" Target="mailto:DAFNEVILLALOBOS009@HOTMAIL.COM" TargetMode="External"/><Relationship Id="rId19" Type="http://schemas.openxmlformats.org/officeDocument/2006/relationships/hyperlink" Target="mailto:M.ARMIJO@JAVER.CL" TargetMode="External"/><Relationship Id="rId14" Type="http://schemas.openxmlformats.org/officeDocument/2006/relationships/hyperlink" Target="mailto:MAGONZAL@GMAIL.COM" TargetMode="External"/><Relationship Id="rId22" Type="http://schemas.openxmlformats.org/officeDocument/2006/relationships/hyperlink" Target="mailto:MIRNA_PACHRAB@HOTMAIL.COM" TargetMode="External"/><Relationship Id="rId27" Type="http://schemas.openxmlformats.org/officeDocument/2006/relationships/hyperlink" Target="mailto:mauriciodonosomontoya@hotmail.com" TargetMode="External"/><Relationship Id="rId30" Type="http://schemas.openxmlformats.org/officeDocument/2006/relationships/hyperlink" Target="mailto:e.anabalon@mawi.cl" TargetMode="External"/><Relationship Id="rId35" Type="http://schemas.openxmlformats.org/officeDocument/2006/relationships/hyperlink" Target="mailto:ALEBUVINIC@GLOBALCOM.CL" TargetMode="External"/><Relationship Id="rId43" Type="http://schemas.openxmlformats.org/officeDocument/2006/relationships/hyperlink" Target="mailto:PROVEEDOR@EVITA.CL" TargetMode="External"/><Relationship Id="rId48" Type="http://schemas.openxmlformats.org/officeDocument/2006/relationships/hyperlink" Target="mailto:ignacio.rivas@dimarsa.cl" TargetMode="External"/><Relationship Id="rId56" Type="http://schemas.openxmlformats.org/officeDocument/2006/relationships/hyperlink" Target="http://www.angelesjeans.cl/" TargetMode="External"/><Relationship Id="rId64" Type="http://schemas.openxmlformats.org/officeDocument/2006/relationships/hyperlink" Target="mailto:mili.palma@gmail.com" TargetMode="External"/><Relationship Id="rId69" Type="http://schemas.openxmlformats.org/officeDocument/2006/relationships/printerSettings" Target="../printerSettings/printerSettings4.bin"/><Relationship Id="rId8" Type="http://schemas.openxmlformats.org/officeDocument/2006/relationships/hyperlink" Target="mailto:oyarzunborquezmonica@hotmail.Com" TargetMode="External"/><Relationship Id="rId51" Type="http://schemas.openxmlformats.org/officeDocument/2006/relationships/hyperlink" Target="mailto:IGNACIO.RIVAS@DIMARSA.CL" TargetMode="External"/><Relationship Id="rId72" Type="http://schemas.openxmlformats.org/officeDocument/2006/relationships/ctrlProp" Target="../ctrlProps/ctrlProp3.xml"/><Relationship Id="rId3" Type="http://schemas.openxmlformats.org/officeDocument/2006/relationships/hyperlink" Target="mailto:victoriaf99@live.cl" TargetMode="External"/><Relationship Id="rId12" Type="http://schemas.openxmlformats.org/officeDocument/2006/relationships/hyperlink" Target="mailto:juana.arayacampusano@gmail.com" TargetMode="External"/><Relationship Id="rId17" Type="http://schemas.openxmlformats.org/officeDocument/2006/relationships/hyperlink" Target="mailto:CECILIA.MOHICANO@GMAIL.COM" TargetMode="External"/><Relationship Id="rId25" Type="http://schemas.openxmlformats.org/officeDocument/2006/relationships/hyperlink" Target="mailto:EPI.MARCO@GMAIL.COM" TargetMode="External"/><Relationship Id="rId33" Type="http://schemas.openxmlformats.org/officeDocument/2006/relationships/hyperlink" Target="mailto:JOHANNALEIVA325@GMAIL.COM" TargetMode="External"/><Relationship Id="rId38" Type="http://schemas.openxmlformats.org/officeDocument/2006/relationships/hyperlink" Target="mailto:MARCELOC@MULTICENTRO.CL" TargetMode="External"/><Relationship Id="rId46" Type="http://schemas.openxmlformats.org/officeDocument/2006/relationships/hyperlink" Target="mailto:NOELIAGARRIDO33@GMAIL.COM" TargetMode="External"/><Relationship Id="rId59" Type="http://schemas.openxmlformats.org/officeDocument/2006/relationships/hyperlink" Target="mailto:TIENDAJOSSELIN@HOTMAIL.COM" TargetMode="External"/><Relationship Id="rId67" Type="http://schemas.openxmlformats.org/officeDocument/2006/relationships/hyperlink" Target="mailto:PARRAEL2@YAHOO.ES" TargetMode="External"/><Relationship Id="rId20" Type="http://schemas.openxmlformats.org/officeDocument/2006/relationships/hyperlink" Target="mailto:CAROLINAMIRANDA09@HOTMAIL.COM" TargetMode="External"/><Relationship Id="rId41" Type="http://schemas.openxmlformats.org/officeDocument/2006/relationships/hyperlink" Target="mailto:EMORAGA@GERMANI.CL" TargetMode="External"/><Relationship Id="rId54" Type="http://schemas.openxmlformats.org/officeDocument/2006/relationships/hyperlink" Target="mailto:AURELIO.HUILCA27@HOTMAIL.COM" TargetMode="External"/><Relationship Id="rId62" Type="http://schemas.openxmlformats.org/officeDocument/2006/relationships/hyperlink" Target="mailto:ca_aliaga@hotmail.com" TargetMode="External"/><Relationship Id="rId70" Type="http://schemas.openxmlformats.org/officeDocument/2006/relationships/drawing" Target="../drawings/drawing4.xml"/><Relationship Id="rId75" Type="http://schemas.openxmlformats.org/officeDocument/2006/relationships/comments" Target="../comments2.xml"/><Relationship Id="rId1" Type="http://schemas.openxmlformats.org/officeDocument/2006/relationships/hyperlink" Target="mailto:valentinaboutique01@gmail.com" TargetMode="External"/><Relationship Id="rId6" Type="http://schemas.openxmlformats.org/officeDocument/2006/relationships/hyperlink" Target="mailto:patricia.barria@gmail.com" TargetMode="External"/><Relationship Id="rId15" Type="http://schemas.openxmlformats.org/officeDocument/2006/relationships/hyperlink" Target="mailto:SAHARAANGOL@GMAIL.COM" TargetMode="External"/><Relationship Id="rId23" Type="http://schemas.openxmlformats.org/officeDocument/2006/relationships/hyperlink" Target="mailto:mily.palma@gmail.com" TargetMode="External"/><Relationship Id="rId28" Type="http://schemas.openxmlformats.org/officeDocument/2006/relationships/hyperlink" Target="mailto:tiendamodafiel@gmail.com" TargetMode="External"/><Relationship Id="rId36" Type="http://schemas.openxmlformats.org/officeDocument/2006/relationships/hyperlink" Target="mailto:KATTIE.CARRASCO@HOTMAIL.COM" TargetMode="External"/><Relationship Id="rId49" Type="http://schemas.openxmlformats.org/officeDocument/2006/relationships/hyperlink" Target="mailto:IGNACIO.RIVAS@DIMARSA.CL" TargetMode="External"/><Relationship Id="rId57" Type="http://schemas.openxmlformats.org/officeDocument/2006/relationships/hyperlink" Target="mailto:angelafontana.1990@gmail.com" TargetMode="External"/><Relationship Id="rId10" Type="http://schemas.openxmlformats.org/officeDocument/2006/relationships/hyperlink" Target="mailto:g.oltorres91@gmail.com" TargetMode="External"/><Relationship Id="rId31" Type="http://schemas.openxmlformats.org/officeDocument/2006/relationships/hyperlink" Target="mailto:francisco.inostroza70@gmail.com" TargetMode="External"/><Relationship Id="rId44" Type="http://schemas.openxmlformats.org/officeDocument/2006/relationships/hyperlink" Target="mailto:SANDRYANTONIETA@GAMIL.COM" TargetMode="External"/><Relationship Id="rId52" Type="http://schemas.openxmlformats.org/officeDocument/2006/relationships/hyperlink" Target="mailto:marcy.duarte@hotmail.com" TargetMode="External"/><Relationship Id="rId60" Type="http://schemas.openxmlformats.org/officeDocument/2006/relationships/hyperlink" Target="mailto:ceciliarojojimenez@hotmail.com" TargetMode="External"/><Relationship Id="rId65" Type="http://schemas.openxmlformats.org/officeDocument/2006/relationships/hyperlink" Target="mailto:cvegamartino@gmail.com" TargetMode="External"/><Relationship Id="rId73" Type="http://schemas.openxmlformats.org/officeDocument/2006/relationships/ctrlProp" Target="../ctrlProps/ctrlProp4.xml"/><Relationship Id="rId4" Type="http://schemas.openxmlformats.org/officeDocument/2006/relationships/hyperlink" Target="mailto:irmafranciscaromero@gmail.com" TargetMode="External"/><Relationship Id="rId9" Type="http://schemas.openxmlformats.org/officeDocument/2006/relationships/hyperlink" Target="mailto:constanzacontreras1310@gmail.com" TargetMode="External"/><Relationship Id="rId13" Type="http://schemas.openxmlformats.org/officeDocument/2006/relationships/hyperlink" Target="mailto:FORCAELCAMILA@GMAIL.COM" TargetMode="External"/><Relationship Id="rId18" Type="http://schemas.openxmlformats.org/officeDocument/2006/relationships/hyperlink" Target="mailto:BOUTIQUELOSCISNES@GMAIL.COM" TargetMode="External"/><Relationship Id="rId39" Type="http://schemas.openxmlformats.org/officeDocument/2006/relationships/hyperlink" Target="mailto:fernanda.roman@san-antonio.cl" TargetMode="External"/><Relationship Id="rId34" Type="http://schemas.openxmlformats.org/officeDocument/2006/relationships/hyperlink" Target="mailto:PILAR_ANANIAS@HOTMAIL.COM" TargetMode="External"/><Relationship Id="rId50" Type="http://schemas.openxmlformats.org/officeDocument/2006/relationships/hyperlink" Target="mailto:svargas@dimarsa.cl" TargetMode="External"/><Relationship Id="rId55" Type="http://schemas.openxmlformats.org/officeDocument/2006/relationships/hyperlink" Target="mailto:ayanca12@gmail.com" TargetMode="External"/><Relationship Id="rId7" Type="http://schemas.openxmlformats.org/officeDocument/2006/relationships/hyperlink" Target="mailto:tiendayuly@patagoniachile.cl" TargetMode="External"/><Relationship Id="rId7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B0F0"/>
    <pageSetUpPr fitToPage="1"/>
  </sheetPr>
  <dimension ref="A1:U92"/>
  <sheetViews>
    <sheetView showGridLines="0" topLeftCell="A7" zoomScale="70" zoomScaleNormal="70" workbookViewId="0">
      <selection activeCell="A34" sqref="A34:D34"/>
    </sheetView>
  </sheetViews>
  <sheetFormatPr baseColWidth="10" defaultColWidth="11.42578125" defaultRowHeight="24" x14ac:dyDescent="0.2"/>
  <cols>
    <col min="1" max="1" width="13.7109375" style="220" customWidth="1"/>
    <col min="2" max="2" width="91.5703125" style="1" customWidth="1"/>
    <col min="3" max="3" width="17.85546875" style="1" customWidth="1"/>
    <col min="4" max="4" width="15.140625" style="1" customWidth="1"/>
    <col min="5" max="15" width="5.28515625" style="1" customWidth="1"/>
    <col min="16" max="16" width="7.140625" style="1" customWidth="1"/>
    <col min="17" max="17" width="11" style="1" customWidth="1"/>
    <col min="18" max="18" width="17" style="1" customWidth="1"/>
    <col min="19" max="19" width="21" style="1" customWidth="1"/>
    <col min="20" max="20" width="4" style="15" customWidth="1"/>
    <col min="21" max="16384" width="11.42578125" style="1"/>
  </cols>
  <sheetData>
    <row r="1" spans="1:21" ht="22.15" customHeight="1" thickTop="1" x14ac:dyDescent="0.2">
      <c r="A1" s="214"/>
      <c r="B1" s="106"/>
      <c r="C1" s="108"/>
      <c r="D1" s="345" t="s">
        <v>0</v>
      </c>
      <c r="E1" s="345"/>
      <c r="F1" s="345"/>
      <c r="G1" s="353" t="s">
        <v>2</v>
      </c>
      <c r="H1" s="354"/>
      <c r="I1" s="354"/>
      <c r="J1" s="355"/>
      <c r="K1" s="370" t="str">
        <f>_xlfn.IFNA(VLOOKUP(K5,'BASE DE DATOS OFICIAL'!$A$4:$AC$166,3,0),"SIN INFORMACIÓN")</f>
        <v>ESTABLECIMIENTOS GERMANI S.A.</v>
      </c>
      <c r="L1" s="371"/>
      <c r="M1" s="371"/>
      <c r="N1" s="371"/>
      <c r="O1" s="371"/>
      <c r="P1" s="371"/>
      <c r="Q1" s="371"/>
      <c r="R1" s="371"/>
      <c r="S1" s="372"/>
    </row>
    <row r="2" spans="1:21" ht="22.15" customHeight="1" x14ac:dyDescent="0.2">
      <c r="A2" s="215"/>
      <c r="B2" s="107"/>
      <c r="C2" s="109"/>
      <c r="D2" s="346"/>
      <c r="E2" s="346"/>
      <c r="F2" s="346"/>
      <c r="G2" s="350" t="s">
        <v>21</v>
      </c>
      <c r="H2" s="351"/>
      <c r="I2" s="351"/>
      <c r="J2" s="352"/>
      <c r="K2" s="361" t="str">
        <f>_xlfn.IFNA(VLOOKUP(K5,'BASE DE DATOS OFICIAL'!$A$4:$AC$166,19,0),"SIN INFORMACIÓN")</f>
        <v>GRANDES TIENDAS</v>
      </c>
      <c r="L2" s="362"/>
      <c r="M2" s="362"/>
      <c r="N2" s="362"/>
      <c r="O2" s="362"/>
      <c r="P2" s="362"/>
      <c r="Q2" s="362"/>
      <c r="R2" s="362"/>
      <c r="S2" s="363"/>
    </row>
    <row r="3" spans="1:21" ht="22.15" customHeight="1" x14ac:dyDescent="0.2">
      <c r="A3" s="215"/>
      <c r="B3" s="107"/>
      <c r="C3" s="109"/>
      <c r="D3" s="347" t="str">
        <f>VLOOKUP(K5,'BASE DE DATOS OFICIAL'!A3:AC166,14,0)</f>
        <v>LOGISTEX</v>
      </c>
      <c r="E3" s="347"/>
      <c r="F3" s="347"/>
      <c r="G3" s="350" t="s">
        <v>3</v>
      </c>
      <c r="H3" s="351"/>
      <c r="I3" s="351"/>
      <c r="J3" s="352"/>
      <c r="K3" s="361" t="str">
        <f>_xlfn.IFNA(VLOOKUP(K5,'BASE DE DATOS OFICIAL'!$A$4:$AC$166,5,0),"SIN INFORMACIÓN")</f>
        <v>1 SUR 1442</v>
      </c>
      <c r="L3" s="362"/>
      <c r="M3" s="362"/>
      <c r="N3" s="362"/>
      <c r="O3" s="362"/>
      <c r="P3" s="362"/>
      <c r="Q3" s="362"/>
      <c r="R3" s="362"/>
      <c r="S3" s="363"/>
    </row>
    <row r="4" spans="1:21" ht="22.15" customHeight="1" thickBot="1" x14ac:dyDescent="0.25">
      <c r="A4" s="215"/>
      <c r="B4" s="107"/>
      <c r="C4" s="109"/>
      <c r="D4" s="347"/>
      <c r="E4" s="347"/>
      <c r="F4" s="347"/>
      <c r="G4" s="350" t="s">
        <v>22</v>
      </c>
      <c r="H4" s="351"/>
      <c r="I4" s="351"/>
      <c r="J4" s="352"/>
      <c r="K4" s="366" t="str">
        <f>_xlfn.IFNA(VLOOKUP(K5,'BASE DE DATOS OFICIAL'!$A$4:$AC$166,20,0),"SIN INFORMACIÓN")</f>
        <v>GERMANI</v>
      </c>
      <c r="L4" s="366"/>
      <c r="M4" s="366"/>
      <c r="N4" s="366"/>
      <c r="O4" s="366"/>
      <c r="P4" s="367"/>
      <c r="Q4" s="367"/>
      <c r="R4" s="366"/>
      <c r="S4" s="368"/>
    </row>
    <row r="5" spans="1:21" ht="22.15" customHeight="1" thickTop="1" x14ac:dyDescent="0.2">
      <c r="A5" s="215"/>
      <c r="B5" s="107"/>
      <c r="C5" s="109"/>
      <c r="D5" s="348" t="s">
        <v>28</v>
      </c>
      <c r="E5" s="349"/>
      <c r="F5" s="349"/>
      <c r="G5" s="305" t="s">
        <v>5</v>
      </c>
      <c r="H5" s="306"/>
      <c r="I5" s="306"/>
      <c r="J5" s="307"/>
      <c r="K5" s="369" t="s">
        <v>51</v>
      </c>
      <c r="L5" s="369"/>
      <c r="M5" s="369"/>
      <c r="N5" s="369"/>
      <c r="O5" s="369"/>
      <c r="P5" s="364" t="s">
        <v>1</v>
      </c>
      <c r="Q5" s="365"/>
      <c r="R5" s="375"/>
      <c r="S5" s="376"/>
    </row>
    <row r="6" spans="1:21" ht="22.15" customHeight="1" x14ac:dyDescent="0.2">
      <c r="A6" s="215"/>
      <c r="B6" s="107"/>
      <c r="C6" s="109"/>
      <c r="D6" s="349"/>
      <c r="E6" s="349"/>
      <c r="F6" s="349"/>
      <c r="G6" s="305" t="s">
        <v>29</v>
      </c>
      <c r="H6" s="306"/>
      <c r="I6" s="306"/>
      <c r="J6" s="307"/>
      <c r="K6" s="358" t="str">
        <f>_xlfn.IFNA(VLOOKUP(K5,'BASE DE DATOS OFICIAL'!$A$4:$AC$166,21,0),"SIN INFORMACIÓN")</f>
        <v>TALCA</v>
      </c>
      <c r="L6" s="359"/>
      <c r="M6" s="359"/>
      <c r="N6" s="359"/>
      <c r="O6" s="360"/>
      <c r="P6" s="305" t="s">
        <v>4</v>
      </c>
      <c r="Q6" s="307"/>
      <c r="R6" s="377" t="str">
        <f>_xlfn.IFNA(VLOOKUP(K5,'BASE DE DATOS OFICIAL'!$A$4:$AC$166,4,0),"SIN INFORMACIÓN")</f>
        <v xml:space="preserve">TALCA </v>
      </c>
      <c r="S6" s="374"/>
    </row>
    <row r="7" spans="1:21" ht="22.15" customHeight="1" x14ac:dyDescent="0.2">
      <c r="A7" s="339" t="s">
        <v>25</v>
      </c>
      <c r="B7" s="340"/>
      <c r="C7" s="341"/>
      <c r="D7" s="356" t="str">
        <f>_xlfn.IFNA(VLOOKUP(K5,'BASE DE DATOS OFICIAL'!$A$4:$AC$166,17,0),"SIN INFORMACIÓN")</f>
        <v>CONTADO -30DIAS</v>
      </c>
      <c r="E7" s="356"/>
      <c r="F7" s="356"/>
      <c r="G7" s="305" t="s">
        <v>6</v>
      </c>
      <c r="H7" s="306"/>
      <c r="I7" s="306"/>
      <c r="J7" s="307"/>
      <c r="K7" s="358" t="str">
        <f>_xlfn.IFNA(VLOOKUP(K5,'BASE DE DATOS OFICIAL'!$A$4:$AC$166,6,0),"SIN INFORMACIÓN")</f>
        <v xml:space="preserve">71-2229001  </v>
      </c>
      <c r="L7" s="359"/>
      <c r="M7" s="359"/>
      <c r="N7" s="359"/>
      <c r="O7" s="360"/>
      <c r="P7" s="305" t="s">
        <v>7</v>
      </c>
      <c r="Q7" s="307"/>
      <c r="R7" s="377">
        <f>_xlfn.IFNA(VLOOKUP(K5,'BASE DE DATOS OFICIAL'!$A$4:$AC$166,18,0),"SIN INFORMACIÓN")</f>
        <v>0</v>
      </c>
      <c r="S7" s="374"/>
    </row>
    <row r="8" spans="1:21" ht="22.15" customHeight="1" x14ac:dyDescent="0.2">
      <c r="A8" s="339" t="s">
        <v>1082</v>
      </c>
      <c r="B8" s="340"/>
      <c r="C8" s="341"/>
      <c r="D8" s="356"/>
      <c r="E8" s="356"/>
      <c r="F8" s="356"/>
      <c r="G8" s="305" t="s">
        <v>17</v>
      </c>
      <c r="H8" s="306"/>
      <c r="I8" s="306"/>
      <c r="J8" s="307"/>
      <c r="K8" s="342">
        <f ca="1">TODAY()</f>
        <v>46094</v>
      </c>
      <c r="L8" s="343"/>
      <c r="M8" s="343"/>
      <c r="N8" s="343"/>
      <c r="O8" s="344"/>
      <c r="P8" s="305" t="s">
        <v>30</v>
      </c>
      <c r="Q8" s="307"/>
      <c r="R8" s="373">
        <f>_xlfn.IFNA(VLOOKUP(K5,'BASE DE DATOS OFICIAL'!$A$4:$AC$166,9,0),"SIN INFORMACIÓN")</f>
        <v>0</v>
      </c>
      <c r="S8" s="374"/>
    </row>
    <row r="9" spans="1:21" ht="22.15" customHeight="1" x14ac:dyDescent="0.2">
      <c r="A9" s="339"/>
      <c r="B9" s="340"/>
      <c r="C9" s="341"/>
      <c r="D9" s="357" t="s">
        <v>1414</v>
      </c>
      <c r="E9" s="357"/>
      <c r="F9" s="357"/>
      <c r="G9" s="390" t="s">
        <v>18</v>
      </c>
      <c r="H9" s="391"/>
      <c r="I9" s="391"/>
      <c r="J9" s="392"/>
      <c r="K9" s="322" t="str">
        <f>_xlfn.IFNA(VLOOKUP(K5,'BASE DE DATOS OFICIAL'!$A$4:$AC$166,7,0),"SIN INFORMACIÓN")</f>
        <v>RICHARD CUEVAS</v>
      </c>
      <c r="L9" s="323"/>
      <c r="M9" s="323"/>
      <c r="N9" s="323"/>
      <c r="O9" s="324"/>
      <c r="P9" s="350" t="s">
        <v>1406</v>
      </c>
      <c r="Q9" s="352"/>
      <c r="R9" s="386" t="s">
        <v>1768</v>
      </c>
      <c r="S9" s="387"/>
    </row>
    <row r="10" spans="1:21" ht="22.15" customHeight="1" x14ac:dyDescent="0.2">
      <c r="A10" s="325" t="s">
        <v>26</v>
      </c>
      <c r="B10" s="326"/>
      <c r="C10" s="327"/>
      <c r="D10" s="357"/>
      <c r="E10" s="357"/>
      <c r="F10" s="357"/>
      <c r="G10" s="305" t="s">
        <v>31</v>
      </c>
      <c r="H10" s="306"/>
      <c r="I10" s="306"/>
      <c r="J10" s="307"/>
      <c r="K10" s="398" t="s">
        <v>1764</v>
      </c>
      <c r="L10" s="399"/>
      <c r="M10" s="399"/>
      <c r="N10" s="399"/>
      <c r="O10" s="400"/>
      <c r="P10" s="350"/>
      <c r="Q10" s="352"/>
      <c r="R10" s="386"/>
      <c r="S10" s="387"/>
    </row>
    <row r="11" spans="1:21" ht="22.15" customHeight="1" x14ac:dyDescent="0.2">
      <c r="A11" s="328" t="s">
        <v>27</v>
      </c>
      <c r="B11" s="329"/>
      <c r="C11" s="330"/>
      <c r="D11" s="308">
        <v>142813</v>
      </c>
      <c r="E11" s="308"/>
      <c r="F11" s="308"/>
      <c r="G11" s="390" t="s">
        <v>1407</v>
      </c>
      <c r="H11" s="391"/>
      <c r="I11" s="391"/>
      <c r="J11" s="392"/>
      <c r="K11" s="397">
        <f>_xlfn.IFNA(VLOOKUP(K5,'BASE DE DATOS OFICIAL'!$A$4:$AC$166,29,0),"SIN INFORMACIÓN")</f>
        <v>493.34999999999997</v>
      </c>
      <c r="L11" s="397"/>
      <c r="M11" s="396" t="s">
        <v>1411</v>
      </c>
      <c r="N11" s="396"/>
      <c r="O11" s="396"/>
      <c r="P11" s="305" t="s">
        <v>632</v>
      </c>
      <c r="Q11" s="307"/>
      <c r="R11" s="221"/>
      <c r="S11" s="139"/>
    </row>
    <row r="12" spans="1:21" ht="22.15" customHeight="1" thickBot="1" x14ac:dyDescent="0.25">
      <c r="A12" s="331"/>
      <c r="B12" s="332"/>
      <c r="C12" s="333"/>
      <c r="D12" s="309"/>
      <c r="E12" s="309"/>
      <c r="F12" s="309"/>
      <c r="G12" s="336" t="s">
        <v>1413</v>
      </c>
      <c r="H12" s="337"/>
      <c r="I12" s="337"/>
      <c r="J12" s="338"/>
      <c r="K12" s="393" t="s">
        <v>1408</v>
      </c>
      <c r="L12" s="394"/>
      <c r="M12" s="394"/>
      <c r="N12" s="394"/>
      <c r="O12" s="395"/>
      <c r="P12" s="388" t="s">
        <v>1409</v>
      </c>
      <c r="Q12" s="389"/>
      <c r="R12" s="140" t="s">
        <v>1410</v>
      </c>
      <c r="S12" s="141" t="s">
        <v>12</v>
      </c>
    </row>
    <row r="13" spans="1:21" ht="22.15" customHeight="1" thickTop="1" thickBot="1" x14ac:dyDescent="0.25">
      <c r="A13" s="334"/>
      <c r="B13" s="335"/>
      <c r="C13" s="335"/>
      <c r="D13" s="335"/>
      <c r="E13" s="335"/>
      <c r="F13" s="335"/>
      <c r="G13" s="380">
        <v>3800</v>
      </c>
      <c r="H13" s="380"/>
      <c r="I13" s="380"/>
      <c r="J13" s="380"/>
      <c r="K13" s="381">
        <f>_xlfn.IFNA(VLOOKUP(K5,'BASE DE DATOS OFICIAL'!$A$4:$AC$166,24,0),"SIN INFORMACIÓN")</f>
        <v>481</v>
      </c>
      <c r="L13" s="381"/>
      <c r="M13" s="381"/>
      <c r="N13" s="381"/>
      <c r="O13" s="381"/>
      <c r="P13" s="401">
        <f>_xlfn.IFNA(VLOOKUP(K5,'BASE DE DATOS OFICIAL'!$A$4:$AC$166,25,0),"SIN INFORMACIÓN")</f>
        <v>454</v>
      </c>
      <c r="Q13" s="401"/>
      <c r="R13" s="129">
        <f>_xlfn.IFNA(VLOOKUP(K5,'BASE DE DATOS OFICIAL'!$A$4:$AC$166,26,0),"SIN INFORMACIÓN")</f>
        <v>27</v>
      </c>
      <c r="S13" s="138">
        <f>_xlfn.IFNA(VLOOKUP(K5,'BASE DE DATOS OFICIAL'!$A$4:$AC$166,28,0),"SIN INFORMACIÓN")</f>
        <v>11679460</v>
      </c>
    </row>
    <row r="14" spans="1:21" s="144" customFormat="1" ht="24.6" customHeight="1" thickTop="1" x14ac:dyDescent="0.2">
      <c r="A14" s="216" t="s">
        <v>8</v>
      </c>
      <c r="B14" s="145" t="s">
        <v>1081</v>
      </c>
      <c r="C14" s="145" t="s">
        <v>10</v>
      </c>
      <c r="D14" s="146" t="s">
        <v>15</v>
      </c>
      <c r="E14" s="147">
        <v>36</v>
      </c>
      <c r="F14" s="145">
        <v>38</v>
      </c>
      <c r="G14" s="145">
        <v>40</v>
      </c>
      <c r="H14" s="145">
        <v>42</v>
      </c>
      <c r="I14" s="145">
        <v>44</v>
      </c>
      <c r="J14" s="145">
        <v>46</v>
      </c>
      <c r="K14" s="145">
        <v>48</v>
      </c>
      <c r="L14" s="148">
        <v>50</v>
      </c>
      <c r="M14" s="147" t="s">
        <v>16</v>
      </c>
      <c r="N14" s="145" t="s">
        <v>23</v>
      </c>
      <c r="O14" s="148" t="s">
        <v>24</v>
      </c>
      <c r="P14" s="384" t="s">
        <v>11</v>
      </c>
      <c r="Q14" s="385"/>
      <c r="R14" s="145" t="s">
        <v>12</v>
      </c>
      <c r="S14" s="149" t="s">
        <v>13</v>
      </c>
      <c r="T14" s="142"/>
      <c r="U14" s="143"/>
    </row>
    <row r="15" spans="1:21" ht="18" customHeight="1" x14ac:dyDescent="0.2">
      <c r="A15" s="224" t="s">
        <v>1808</v>
      </c>
      <c r="B15" s="110" t="str">
        <f t="shared" ref="B15:B40" si="0">IF(A15="","",VLOOKUP(A15,jeans,2,FALSE))</f>
        <v>BIO MEDIO FOCALIZADOPRETINA CRUZADA  3 PINZA TRASERO</v>
      </c>
      <c r="C15" s="110" t="str">
        <f t="shared" ref="C15:C40" si="1">IF(A15="","",VLOOKUP(A15,jeans,3,FALSE))</f>
        <v>CINTURA</v>
      </c>
      <c r="D15" s="118" t="str">
        <f t="shared" ref="D15:D40" si="2">IF(A15="","",VLOOKUP(A15,jeans,4,FALSE))</f>
        <v>TOBILLERO</v>
      </c>
      <c r="E15" s="120"/>
      <c r="F15" s="112"/>
      <c r="G15" s="111"/>
      <c r="H15" s="112"/>
      <c r="I15" s="111"/>
      <c r="J15" s="112"/>
      <c r="K15" s="111"/>
      <c r="L15" s="121"/>
      <c r="M15" s="124"/>
      <c r="N15" s="111"/>
      <c r="O15" s="121"/>
      <c r="P15" s="378">
        <f t="shared" ref="P15:P43" si="3">SUM($E15:$O15)</f>
        <v>0</v>
      </c>
      <c r="Q15" s="379"/>
      <c r="R15" s="130">
        <f t="shared" ref="R15:R40" si="4">IF(A15="","",VLOOKUP(A15,jeans,5,FALSE))</f>
        <v>24990</v>
      </c>
      <c r="S15" s="113">
        <f t="shared" ref="S15:S43" si="5">IFERROR(P15*R15,"")</f>
        <v>0</v>
      </c>
    </row>
    <row r="16" spans="1:21" ht="18" customHeight="1" x14ac:dyDescent="0.2">
      <c r="A16" s="224">
        <v>4226</v>
      </c>
      <c r="B16" s="110" t="str">
        <f t="shared" si="0"/>
        <v>BLUE BLACK FOCALIZADO  2 RELOJERO  ANCHO BOLS TRASERO  PINZA+CORTE ALTURA 3 PINZAS</v>
      </c>
      <c r="C16" s="110" t="str">
        <f t="shared" si="1"/>
        <v>MEDIO</v>
      </c>
      <c r="D16" s="118" t="str">
        <f t="shared" si="2"/>
        <v>PITILLO</v>
      </c>
      <c r="E16" s="120"/>
      <c r="F16" s="112"/>
      <c r="G16" s="111"/>
      <c r="H16" s="112"/>
      <c r="I16" s="111"/>
      <c r="J16" s="112"/>
      <c r="K16" s="111"/>
      <c r="L16" s="121"/>
      <c r="M16" s="124"/>
      <c r="N16" s="111"/>
      <c r="O16" s="121"/>
      <c r="P16" s="378">
        <f t="shared" si="3"/>
        <v>0</v>
      </c>
      <c r="Q16" s="379"/>
      <c r="R16" s="130">
        <f t="shared" si="4"/>
        <v>24990</v>
      </c>
      <c r="S16" s="113">
        <f t="shared" si="5"/>
        <v>0</v>
      </c>
    </row>
    <row r="17" spans="1:19" ht="18" customHeight="1" x14ac:dyDescent="0.2">
      <c r="A17" s="224" t="s">
        <v>1826</v>
      </c>
      <c r="B17" s="110" t="str">
        <f t="shared" si="0"/>
        <v>MEDIO FOCALIZADO   CORTE DELANTERO   PESPUNTE 2 PINZA TRASERO</v>
      </c>
      <c r="C17" s="110" t="str">
        <f t="shared" si="1"/>
        <v>CINTURA</v>
      </c>
      <c r="D17" s="118" t="str">
        <f t="shared" si="2"/>
        <v>TOBILLERO</v>
      </c>
      <c r="E17" s="120"/>
      <c r="F17" s="112"/>
      <c r="G17" s="111"/>
      <c r="H17" s="112"/>
      <c r="I17" s="111"/>
      <c r="J17" s="112"/>
      <c r="K17" s="111"/>
      <c r="L17" s="121"/>
      <c r="M17" s="124"/>
      <c r="N17" s="111"/>
      <c r="O17" s="121"/>
      <c r="P17" s="378">
        <f t="shared" si="3"/>
        <v>0</v>
      </c>
      <c r="Q17" s="379"/>
      <c r="R17" s="130">
        <f t="shared" si="4"/>
        <v>24990</v>
      </c>
      <c r="S17" s="113">
        <f t="shared" si="5"/>
        <v>0</v>
      </c>
    </row>
    <row r="18" spans="1:19" ht="18" customHeight="1" x14ac:dyDescent="0.2">
      <c r="A18" s="224" t="s">
        <v>1792</v>
      </c>
      <c r="B18" s="110" t="str">
        <f t="shared" si="0"/>
        <v>BIOOSCURO FOCALIZADO 2 RELOJ ANCHO BOLS TRASERO CORTE 3 PINZA TRASERO</v>
      </c>
      <c r="C18" s="110" t="str">
        <f t="shared" si="1"/>
        <v>CINTURA</v>
      </c>
      <c r="D18" s="118" t="str">
        <f t="shared" si="2"/>
        <v>PITILLO</v>
      </c>
      <c r="E18" s="120"/>
      <c r="F18" s="112"/>
      <c r="G18" s="111"/>
      <c r="H18" s="112"/>
      <c r="I18" s="111"/>
      <c r="J18" s="112"/>
      <c r="K18" s="111"/>
      <c r="L18" s="121"/>
      <c r="M18" s="124"/>
      <c r="N18" s="111"/>
      <c r="O18" s="121"/>
      <c r="P18" s="378">
        <f t="shared" si="3"/>
        <v>0</v>
      </c>
      <c r="Q18" s="379"/>
      <c r="R18" s="130">
        <f t="shared" si="4"/>
        <v>24990</v>
      </c>
      <c r="S18" s="113">
        <f t="shared" si="5"/>
        <v>0</v>
      </c>
    </row>
    <row r="19" spans="1:19" ht="18" customHeight="1" x14ac:dyDescent="0.2">
      <c r="A19" s="224" t="s">
        <v>2112</v>
      </c>
      <c r="B19" s="110" t="str">
        <f t="shared" si="0"/>
        <v xml:space="preserve">idem 4226-01 laser 2 CIERRES EN VISTA DELANTERO 3 PINZA TRASERO DREMEL BOLSILLOS </v>
      </c>
      <c r="C19" s="110" t="str">
        <f t="shared" si="1"/>
        <v>CINTURA</v>
      </c>
      <c r="D19" s="118" t="str">
        <f t="shared" si="2"/>
        <v>PITILLO</v>
      </c>
      <c r="E19" s="120"/>
      <c r="F19" s="112"/>
      <c r="G19" s="111"/>
      <c r="H19" s="112"/>
      <c r="I19" s="111"/>
      <c r="J19" s="112"/>
      <c r="K19" s="111"/>
      <c r="L19" s="121"/>
      <c r="M19" s="124"/>
      <c r="N19" s="111"/>
      <c r="O19" s="121"/>
      <c r="P19" s="378">
        <f t="shared" si="3"/>
        <v>0</v>
      </c>
      <c r="Q19" s="379"/>
      <c r="R19" s="130">
        <f t="shared" si="4"/>
        <v>24990</v>
      </c>
      <c r="S19" s="113">
        <f t="shared" si="5"/>
        <v>0</v>
      </c>
    </row>
    <row r="20" spans="1:19" ht="18" customHeight="1" x14ac:dyDescent="0.2">
      <c r="A20" s="224" t="s">
        <v>1812</v>
      </c>
      <c r="B20" s="110" t="str">
        <f t="shared" si="0"/>
        <v xml:space="preserve">AZUL INDUSTRIAL   DOBLE RELOJERO  2 TONOS DE HILOS </v>
      </c>
      <c r="C20" s="110" t="str">
        <f t="shared" si="1"/>
        <v>CINTURA</v>
      </c>
      <c r="D20" s="118" t="str">
        <f t="shared" si="2"/>
        <v>RECTO TOBI</v>
      </c>
      <c r="E20" s="120"/>
      <c r="F20" s="112"/>
      <c r="G20" s="111"/>
      <c r="H20" s="112"/>
      <c r="I20" s="111"/>
      <c r="J20" s="112"/>
      <c r="K20" s="111"/>
      <c r="L20" s="121"/>
      <c r="M20" s="124"/>
      <c r="N20" s="111"/>
      <c r="O20" s="121"/>
      <c r="P20" s="378">
        <f t="shared" si="3"/>
        <v>0</v>
      </c>
      <c r="Q20" s="379"/>
      <c r="R20" s="130">
        <f t="shared" si="4"/>
        <v>24990</v>
      </c>
      <c r="S20" s="113">
        <f t="shared" si="5"/>
        <v>0</v>
      </c>
    </row>
    <row r="21" spans="1:19" ht="18" customHeight="1" x14ac:dyDescent="0.2">
      <c r="A21" s="224" t="s">
        <v>1809</v>
      </c>
      <c r="B21" s="110" t="str">
        <f t="shared" si="0"/>
        <v>BIOMEDIO   FOCALIZADO LASER  PASADOR BOLS TRAS/DELANTERO 3 COSTURA ALTURA</v>
      </c>
      <c r="C21" s="110" t="str">
        <f t="shared" si="1"/>
        <v xml:space="preserve">CADERA </v>
      </c>
      <c r="D21" s="118" t="str">
        <f t="shared" si="2"/>
        <v>PITILLO</v>
      </c>
      <c r="E21" s="120"/>
      <c r="F21" s="112"/>
      <c r="G21" s="111"/>
      <c r="H21" s="112"/>
      <c r="I21" s="111"/>
      <c r="J21" s="112"/>
      <c r="K21" s="111"/>
      <c r="L21" s="121"/>
      <c r="M21" s="124"/>
      <c r="N21" s="111"/>
      <c r="O21" s="121"/>
      <c r="P21" s="378">
        <f t="shared" si="3"/>
        <v>0</v>
      </c>
      <c r="Q21" s="379"/>
      <c r="R21" s="130">
        <f t="shared" si="4"/>
        <v>24990</v>
      </c>
      <c r="S21" s="113">
        <f t="shared" si="5"/>
        <v>0</v>
      </c>
    </row>
    <row r="22" spans="1:19" ht="18" customHeight="1" x14ac:dyDescent="0.2">
      <c r="A22" s="224" t="s">
        <v>1793</v>
      </c>
      <c r="B22" s="110" t="str">
        <f t="shared" si="0"/>
        <v>BLUE BLACK  FOCALIZADO SIN TACHAS</v>
      </c>
      <c r="C22" s="110" t="str">
        <f t="shared" si="1"/>
        <v>CINTURA</v>
      </c>
      <c r="D22" s="118" t="str">
        <f t="shared" si="2"/>
        <v>PITILLO</v>
      </c>
      <c r="E22" s="120"/>
      <c r="F22" s="112"/>
      <c r="G22" s="111"/>
      <c r="H22" s="112"/>
      <c r="I22" s="111"/>
      <c r="J22" s="112"/>
      <c r="K22" s="111"/>
      <c r="L22" s="121"/>
      <c r="M22" s="124"/>
      <c r="N22" s="111"/>
      <c r="O22" s="121"/>
      <c r="P22" s="378">
        <f t="shared" si="3"/>
        <v>0</v>
      </c>
      <c r="Q22" s="379"/>
      <c r="R22" s="130">
        <f t="shared" si="4"/>
        <v>24990</v>
      </c>
      <c r="S22" s="113">
        <f t="shared" si="5"/>
        <v>0</v>
      </c>
    </row>
    <row r="23" spans="1:19" ht="18" customHeight="1" x14ac:dyDescent="0.2">
      <c r="A23" s="224" t="s">
        <v>1797</v>
      </c>
      <c r="B23" s="110" t="str">
        <f t="shared" si="0"/>
        <v>NEGRO1 RELOJERO APLICACIÓN ECO CUERO PRETINA 3PINZA TRASERO</v>
      </c>
      <c r="C23" s="110" t="str">
        <f t="shared" si="1"/>
        <v>CINTURA</v>
      </c>
      <c r="D23" s="118" t="str">
        <f t="shared" si="2"/>
        <v>PITILLO</v>
      </c>
      <c r="E23" s="120"/>
      <c r="F23" s="112"/>
      <c r="G23" s="111"/>
      <c r="H23" s="112"/>
      <c r="I23" s="111"/>
      <c r="J23" s="112"/>
      <c r="K23" s="111"/>
      <c r="L23" s="121"/>
      <c r="M23" s="124"/>
      <c r="N23" s="111"/>
      <c r="O23" s="121"/>
      <c r="P23" s="378">
        <f t="shared" si="3"/>
        <v>0</v>
      </c>
      <c r="Q23" s="379"/>
      <c r="R23" s="130">
        <f t="shared" si="4"/>
        <v>24990</v>
      </c>
      <c r="S23" s="113">
        <f t="shared" si="5"/>
        <v>0</v>
      </c>
    </row>
    <row r="24" spans="1:19" ht="18" customHeight="1" x14ac:dyDescent="0.2">
      <c r="A24" s="224" t="s">
        <v>1828</v>
      </c>
      <c r="B24" s="110" t="str">
        <f t="shared" si="0"/>
        <v>NEGRO     2 PINZA TRASERO  BOLSILLOS CUADRADOS  TRAS</v>
      </c>
      <c r="C24" s="110" t="str">
        <f t="shared" si="1"/>
        <v xml:space="preserve">CINTURA </v>
      </c>
      <c r="D24" s="118" t="str">
        <f t="shared" si="2"/>
        <v>RECTO</v>
      </c>
      <c r="E24" s="120"/>
      <c r="F24" s="112"/>
      <c r="G24" s="111"/>
      <c r="H24" s="112"/>
      <c r="I24" s="111"/>
      <c r="J24" s="112"/>
      <c r="K24" s="111"/>
      <c r="L24" s="121"/>
      <c r="M24" s="124"/>
      <c r="N24" s="111"/>
      <c r="O24" s="121"/>
      <c r="P24" s="378">
        <f t="shared" si="3"/>
        <v>0</v>
      </c>
      <c r="Q24" s="379"/>
      <c r="R24" s="130">
        <f t="shared" si="4"/>
        <v>25990</v>
      </c>
      <c r="S24" s="113">
        <f t="shared" si="5"/>
        <v>0</v>
      </c>
    </row>
    <row r="25" spans="1:19" ht="18" customHeight="1" x14ac:dyDescent="0.2">
      <c r="A25" s="224" t="s">
        <v>1778</v>
      </c>
      <c r="B25" s="110" t="str">
        <f t="shared" si="0"/>
        <v>GRIS FOCALIZADO   2 PINZA TRASERO</v>
      </c>
      <c r="C25" s="110" t="str">
        <f t="shared" si="1"/>
        <v xml:space="preserve">CINTURA </v>
      </c>
      <c r="D25" s="118" t="str">
        <f t="shared" si="2"/>
        <v>RECTO</v>
      </c>
      <c r="E25" s="120"/>
      <c r="F25" s="112"/>
      <c r="G25" s="111"/>
      <c r="H25" s="112"/>
      <c r="I25" s="111"/>
      <c r="J25" s="112"/>
      <c r="K25" s="111"/>
      <c r="L25" s="121"/>
      <c r="M25" s="124"/>
      <c r="N25" s="111"/>
      <c r="O25" s="121"/>
      <c r="P25" s="378">
        <f t="shared" si="3"/>
        <v>0</v>
      </c>
      <c r="Q25" s="379"/>
      <c r="R25" s="130">
        <f t="shared" si="4"/>
        <v>25990</v>
      </c>
      <c r="S25" s="113">
        <f t="shared" si="5"/>
        <v>0</v>
      </c>
    </row>
    <row r="26" spans="1:19" ht="18" customHeight="1" x14ac:dyDescent="0.2">
      <c r="A26" s="224" t="s">
        <v>1814</v>
      </c>
      <c r="B26" s="110" t="str">
        <f t="shared" si="0"/>
        <v xml:space="preserve">BIOMEDIO FOCALIZADODOBLE RELOJERO  2 TONOS DE HILOS </v>
      </c>
      <c r="C26" s="110" t="str">
        <f t="shared" si="1"/>
        <v>CINTURA</v>
      </c>
      <c r="D26" s="118" t="str">
        <f t="shared" si="2"/>
        <v>RECTO TOBI</v>
      </c>
      <c r="E26" s="120"/>
      <c r="F26" s="112"/>
      <c r="G26" s="111"/>
      <c r="H26" s="112"/>
      <c r="I26" s="111"/>
      <c r="J26" s="112"/>
      <c r="K26" s="111"/>
      <c r="L26" s="121"/>
      <c r="M26" s="124"/>
      <c r="N26" s="111"/>
      <c r="O26" s="121"/>
      <c r="P26" s="378">
        <f t="shared" si="3"/>
        <v>0</v>
      </c>
      <c r="Q26" s="379"/>
      <c r="R26" s="130">
        <f t="shared" si="4"/>
        <v>24990</v>
      </c>
      <c r="S26" s="113">
        <f t="shared" si="5"/>
        <v>0</v>
      </c>
    </row>
    <row r="27" spans="1:19" ht="18" customHeight="1" x14ac:dyDescent="0.2">
      <c r="A27" s="224" t="s">
        <v>1771</v>
      </c>
      <c r="B27" s="110" t="str">
        <f t="shared" si="0"/>
        <v>BIO OSCURO FOCALIZADO2 RELOJ ANCHO  3 COSTURA ALTURA</v>
      </c>
      <c r="C27" s="110" t="str">
        <f t="shared" si="1"/>
        <v>CINTURA</v>
      </c>
      <c r="D27" s="118" t="str">
        <f t="shared" si="2"/>
        <v>RECTO</v>
      </c>
      <c r="E27" s="120"/>
      <c r="F27" s="112"/>
      <c r="G27" s="111"/>
      <c r="H27" s="112"/>
      <c r="I27" s="111"/>
      <c r="J27" s="112"/>
      <c r="K27" s="111"/>
      <c r="L27" s="121"/>
      <c r="M27" s="124"/>
      <c r="N27" s="111"/>
      <c r="O27" s="121"/>
      <c r="P27" s="378">
        <f t="shared" si="3"/>
        <v>0</v>
      </c>
      <c r="Q27" s="379"/>
      <c r="R27" s="130">
        <f t="shared" si="4"/>
        <v>25990</v>
      </c>
      <c r="S27" s="113">
        <f t="shared" si="5"/>
        <v>0</v>
      </c>
    </row>
    <row r="28" spans="1:19" ht="18" customHeight="1" x14ac:dyDescent="0.2">
      <c r="A28" s="224" t="s">
        <v>1827</v>
      </c>
      <c r="B28" s="110" t="str">
        <f t="shared" si="0"/>
        <v>BIO MEDIO FOCALIZADO  BOLSILLOS TRASERO OVALADOS</v>
      </c>
      <c r="C28" s="110" t="str">
        <f t="shared" si="1"/>
        <v xml:space="preserve">CINTURA </v>
      </c>
      <c r="D28" s="118" t="str">
        <f t="shared" si="2"/>
        <v>RECTO</v>
      </c>
      <c r="E28" s="120"/>
      <c r="F28" s="112"/>
      <c r="G28" s="111"/>
      <c r="H28" s="112"/>
      <c r="I28" s="111"/>
      <c r="J28" s="112"/>
      <c r="K28" s="111"/>
      <c r="L28" s="121"/>
      <c r="M28" s="124"/>
      <c r="N28" s="111"/>
      <c r="O28" s="121"/>
      <c r="P28" s="378">
        <f t="shared" si="3"/>
        <v>0</v>
      </c>
      <c r="Q28" s="379"/>
      <c r="R28" s="130">
        <f t="shared" si="4"/>
        <v>25990</v>
      </c>
      <c r="S28" s="113">
        <f t="shared" si="5"/>
        <v>0</v>
      </c>
    </row>
    <row r="29" spans="1:19" ht="18" customHeight="1" x14ac:dyDescent="0.2">
      <c r="A29" s="224" t="s">
        <v>1829</v>
      </c>
      <c r="B29" s="110" t="str">
        <f t="shared" si="0"/>
        <v>MARENGO FOLCALIZADO BOLSILLO BOLSA  DELANTERO</v>
      </c>
      <c r="C29" s="110" t="str">
        <f t="shared" si="1"/>
        <v>CINTURA</v>
      </c>
      <c r="D29" s="118" t="str">
        <f t="shared" si="2"/>
        <v>RECTO</v>
      </c>
      <c r="E29" s="120"/>
      <c r="F29" s="112"/>
      <c r="G29" s="111"/>
      <c r="H29" s="112"/>
      <c r="I29" s="111"/>
      <c r="J29" s="112"/>
      <c r="K29" s="111"/>
      <c r="L29" s="121"/>
      <c r="M29" s="124"/>
      <c r="N29" s="111"/>
      <c r="O29" s="121"/>
      <c r="P29" s="378">
        <f t="shared" si="3"/>
        <v>0</v>
      </c>
      <c r="Q29" s="379"/>
      <c r="R29" s="130">
        <f t="shared" si="4"/>
        <v>27990</v>
      </c>
      <c r="S29" s="113">
        <f t="shared" si="5"/>
        <v>0</v>
      </c>
    </row>
    <row r="30" spans="1:19" ht="18" customHeight="1" x14ac:dyDescent="0.2">
      <c r="A30" s="224" t="s">
        <v>1800</v>
      </c>
      <c r="B30" s="110" t="str">
        <f t="shared" si="0"/>
        <v>NEGRO FOCALIZADO TENUE CLASICO 3 PINZAS ALTURA</v>
      </c>
      <c r="C30" s="110" t="str">
        <f t="shared" si="1"/>
        <v>CINTURA</v>
      </c>
      <c r="D30" s="118" t="str">
        <f t="shared" si="2"/>
        <v>OXFORD</v>
      </c>
      <c r="E30" s="120"/>
      <c r="F30" s="112"/>
      <c r="G30" s="111"/>
      <c r="H30" s="112"/>
      <c r="I30" s="111"/>
      <c r="J30" s="112"/>
      <c r="K30" s="111"/>
      <c r="L30" s="121"/>
      <c r="M30" s="124"/>
      <c r="N30" s="111"/>
      <c r="O30" s="121"/>
      <c r="P30" s="378">
        <f t="shared" si="3"/>
        <v>0</v>
      </c>
      <c r="Q30" s="379"/>
      <c r="R30" s="130">
        <f t="shared" si="4"/>
        <v>25990</v>
      </c>
      <c r="S30" s="113">
        <f t="shared" si="5"/>
        <v>0</v>
      </c>
    </row>
    <row r="31" spans="1:19" ht="18" customHeight="1" x14ac:dyDescent="0.2">
      <c r="A31" s="224" t="s">
        <v>1789</v>
      </c>
      <c r="B31" s="110" t="str">
        <f t="shared" si="0"/>
        <v>BIO OSCURO  FOCALIZADOSMART DENIM 2 PINZA TRASERO COSTADO</v>
      </c>
      <c r="C31" s="110" t="str">
        <f t="shared" si="1"/>
        <v>MEDIO</v>
      </c>
      <c r="D31" s="118" t="str">
        <f t="shared" si="2"/>
        <v>OXFORD</v>
      </c>
      <c r="E31" s="120"/>
      <c r="F31" s="112"/>
      <c r="G31" s="111"/>
      <c r="H31" s="112"/>
      <c r="I31" s="111"/>
      <c r="J31" s="112"/>
      <c r="K31" s="111"/>
      <c r="L31" s="121"/>
      <c r="M31" s="124"/>
      <c r="N31" s="111"/>
      <c r="O31" s="121"/>
      <c r="P31" s="378">
        <f t="shared" si="3"/>
        <v>0</v>
      </c>
      <c r="Q31" s="379"/>
      <c r="R31" s="130">
        <f t="shared" si="4"/>
        <v>25990</v>
      </c>
      <c r="S31" s="113">
        <f t="shared" si="5"/>
        <v>0</v>
      </c>
    </row>
    <row r="32" spans="1:19" ht="18" customHeight="1" x14ac:dyDescent="0.2">
      <c r="A32" s="224" t="s">
        <v>1781</v>
      </c>
      <c r="B32" s="110" t="str">
        <f t="shared" si="0"/>
        <v>OCRE  RELOJERO EN PRETINA  Y PASADOR TRASERO   V</v>
      </c>
      <c r="C32" s="110" t="str">
        <f t="shared" si="1"/>
        <v xml:space="preserve">CINTURA </v>
      </c>
      <c r="D32" s="118" t="str">
        <f t="shared" si="2"/>
        <v>FLARE</v>
      </c>
      <c r="E32" s="120"/>
      <c r="F32" s="112"/>
      <c r="G32" s="111"/>
      <c r="H32" s="112"/>
      <c r="I32" s="111"/>
      <c r="J32" s="112"/>
      <c r="K32" s="111"/>
      <c r="L32" s="121"/>
      <c r="M32" s="124"/>
      <c r="N32" s="111"/>
      <c r="O32" s="121"/>
      <c r="P32" s="378">
        <f t="shared" si="3"/>
        <v>0</v>
      </c>
      <c r="Q32" s="379"/>
      <c r="R32" s="130">
        <f t="shared" si="4"/>
        <v>25990</v>
      </c>
      <c r="S32" s="113">
        <f t="shared" si="5"/>
        <v>0</v>
      </c>
    </row>
    <row r="33" spans="1:19" ht="18" customHeight="1" x14ac:dyDescent="0.2">
      <c r="A33" s="224" t="s">
        <v>2119</v>
      </c>
      <c r="B33" s="110" t="str">
        <f t="shared" si="0"/>
        <v>RELOJERO PRETINAS CHOCOLATE</v>
      </c>
      <c r="C33" s="110" t="str">
        <f t="shared" si="1"/>
        <v xml:space="preserve">CINTURA </v>
      </c>
      <c r="D33" s="118" t="str">
        <f t="shared" si="2"/>
        <v>RECTO</v>
      </c>
      <c r="E33" s="120"/>
      <c r="F33" s="112"/>
      <c r="G33" s="111"/>
      <c r="H33" s="112"/>
      <c r="I33" s="111"/>
      <c r="J33" s="112"/>
      <c r="K33" s="111"/>
      <c r="L33" s="121"/>
      <c r="M33" s="124"/>
      <c r="N33" s="111"/>
      <c r="O33" s="121"/>
      <c r="P33" s="378">
        <f t="shared" si="3"/>
        <v>0</v>
      </c>
      <c r="Q33" s="379"/>
      <c r="R33" s="130">
        <f t="shared" si="4"/>
        <v>25990</v>
      </c>
      <c r="S33" s="113">
        <f t="shared" si="5"/>
        <v>0</v>
      </c>
    </row>
    <row r="34" spans="1:19" ht="18" customHeight="1" x14ac:dyDescent="0.2">
      <c r="A34" s="302" t="s">
        <v>1769</v>
      </c>
      <c r="B34" s="303" t="str">
        <f t="shared" si="0"/>
        <v>MARENGO FOCALIZADOCORTE  DELANTERO  3 PINZAS TRASERAS  TACHAS PRETINA</v>
      </c>
      <c r="C34" s="303" t="str">
        <f t="shared" si="1"/>
        <v xml:space="preserve">CINTURA </v>
      </c>
      <c r="D34" s="304" t="str">
        <f t="shared" si="2"/>
        <v>OXFORD</v>
      </c>
      <c r="E34" s="120"/>
      <c r="F34" s="112"/>
      <c r="G34" s="111"/>
      <c r="H34" s="112"/>
      <c r="I34" s="111"/>
      <c r="J34" s="112"/>
      <c r="K34" s="111"/>
      <c r="L34" s="121"/>
      <c r="M34" s="124"/>
      <c r="N34" s="111"/>
      <c r="O34" s="121"/>
      <c r="P34" s="378">
        <f t="shared" si="3"/>
        <v>0</v>
      </c>
      <c r="Q34" s="379"/>
      <c r="R34" s="130">
        <f t="shared" si="4"/>
        <v>27990</v>
      </c>
      <c r="S34" s="113">
        <f t="shared" si="5"/>
        <v>0</v>
      </c>
    </row>
    <row r="35" spans="1:19" ht="18" customHeight="1" x14ac:dyDescent="0.2">
      <c r="A35" s="224"/>
      <c r="B35" s="110" t="str">
        <f t="shared" si="0"/>
        <v/>
      </c>
      <c r="C35" s="110" t="str">
        <f t="shared" si="1"/>
        <v/>
      </c>
      <c r="D35" s="118" t="str">
        <f t="shared" si="2"/>
        <v/>
      </c>
      <c r="E35" s="120"/>
      <c r="F35" s="112"/>
      <c r="G35" s="111"/>
      <c r="H35" s="112"/>
      <c r="I35" s="111"/>
      <c r="J35" s="112"/>
      <c r="K35" s="111"/>
      <c r="L35" s="121"/>
      <c r="M35" s="124"/>
      <c r="N35" s="111"/>
      <c r="O35" s="121"/>
      <c r="P35" s="378">
        <f t="shared" si="3"/>
        <v>0</v>
      </c>
      <c r="Q35" s="379"/>
      <c r="R35" s="130" t="str">
        <f t="shared" si="4"/>
        <v/>
      </c>
      <c r="S35" s="113" t="str">
        <f t="shared" ref="S35:S42" si="6">IFERROR(P35*R35,"")</f>
        <v/>
      </c>
    </row>
    <row r="36" spans="1:19" ht="18" customHeight="1" x14ac:dyDescent="0.2">
      <c r="A36" s="224"/>
      <c r="B36" s="110" t="str">
        <f t="shared" si="0"/>
        <v/>
      </c>
      <c r="C36" s="110" t="str">
        <f t="shared" si="1"/>
        <v/>
      </c>
      <c r="D36" s="118" t="str">
        <f t="shared" si="2"/>
        <v/>
      </c>
      <c r="E36" s="120"/>
      <c r="F36" s="112"/>
      <c r="G36" s="111"/>
      <c r="H36" s="112"/>
      <c r="I36" s="111"/>
      <c r="J36" s="112"/>
      <c r="K36" s="111"/>
      <c r="L36" s="121"/>
      <c r="M36" s="124"/>
      <c r="N36" s="111"/>
      <c r="O36" s="121"/>
      <c r="P36" s="378">
        <f t="shared" si="3"/>
        <v>0</v>
      </c>
      <c r="Q36" s="379"/>
      <c r="R36" s="130" t="str">
        <f t="shared" si="4"/>
        <v/>
      </c>
      <c r="S36" s="113" t="str">
        <f t="shared" si="6"/>
        <v/>
      </c>
    </row>
    <row r="37" spans="1:19" ht="18" customHeight="1" x14ac:dyDescent="0.2">
      <c r="A37" s="224"/>
      <c r="B37" s="110" t="str">
        <f t="shared" si="0"/>
        <v/>
      </c>
      <c r="C37" s="110" t="str">
        <f t="shared" si="1"/>
        <v/>
      </c>
      <c r="D37" s="118" t="str">
        <f t="shared" si="2"/>
        <v/>
      </c>
      <c r="E37" s="120"/>
      <c r="F37" s="112"/>
      <c r="G37" s="111"/>
      <c r="H37" s="112"/>
      <c r="I37" s="111"/>
      <c r="J37" s="112"/>
      <c r="K37" s="111"/>
      <c r="L37" s="121"/>
      <c r="M37" s="124"/>
      <c r="N37" s="111"/>
      <c r="O37" s="121"/>
      <c r="P37" s="378">
        <f t="shared" si="3"/>
        <v>0</v>
      </c>
      <c r="Q37" s="379"/>
      <c r="R37" s="130" t="str">
        <f t="shared" si="4"/>
        <v/>
      </c>
      <c r="S37" s="113" t="str">
        <f t="shared" si="6"/>
        <v/>
      </c>
    </row>
    <row r="38" spans="1:19" ht="18" customHeight="1" x14ac:dyDescent="0.2">
      <c r="A38" s="224"/>
      <c r="B38" s="110" t="str">
        <f t="shared" si="0"/>
        <v/>
      </c>
      <c r="C38" s="110" t="str">
        <f t="shared" si="1"/>
        <v/>
      </c>
      <c r="D38" s="118" t="str">
        <f t="shared" si="2"/>
        <v/>
      </c>
      <c r="E38" s="120"/>
      <c r="F38" s="112"/>
      <c r="G38" s="111"/>
      <c r="H38" s="112"/>
      <c r="I38" s="111"/>
      <c r="J38" s="112"/>
      <c r="K38" s="111"/>
      <c r="L38" s="121"/>
      <c r="M38" s="124"/>
      <c r="N38" s="111"/>
      <c r="O38" s="121"/>
      <c r="P38" s="378">
        <f t="shared" si="3"/>
        <v>0</v>
      </c>
      <c r="Q38" s="379"/>
      <c r="R38" s="130" t="str">
        <f t="shared" si="4"/>
        <v/>
      </c>
      <c r="S38" s="113" t="str">
        <f t="shared" si="6"/>
        <v/>
      </c>
    </row>
    <row r="39" spans="1:19" ht="18" customHeight="1" x14ac:dyDescent="0.2">
      <c r="A39" s="224"/>
      <c r="B39" s="110" t="str">
        <f t="shared" si="0"/>
        <v/>
      </c>
      <c r="C39" s="110" t="str">
        <f t="shared" si="1"/>
        <v/>
      </c>
      <c r="D39" s="118" t="str">
        <f t="shared" si="2"/>
        <v/>
      </c>
      <c r="E39" s="120"/>
      <c r="F39" s="112"/>
      <c r="G39" s="111"/>
      <c r="H39" s="112"/>
      <c r="I39" s="111"/>
      <c r="J39" s="112"/>
      <c r="K39" s="111"/>
      <c r="L39" s="121"/>
      <c r="M39" s="124"/>
      <c r="N39" s="111"/>
      <c r="O39" s="121"/>
      <c r="P39" s="378">
        <f t="shared" si="3"/>
        <v>0</v>
      </c>
      <c r="Q39" s="379"/>
      <c r="R39" s="130" t="str">
        <f t="shared" si="4"/>
        <v/>
      </c>
      <c r="S39" s="113" t="str">
        <f t="shared" si="6"/>
        <v/>
      </c>
    </row>
    <row r="40" spans="1:19" ht="18" customHeight="1" x14ac:dyDescent="0.2">
      <c r="A40" s="224"/>
      <c r="B40" s="110" t="str">
        <f t="shared" si="0"/>
        <v/>
      </c>
      <c r="C40" s="110" t="str">
        <f t="shared" si="1"/>
        <v/>
      </c>
      <c r="D40" s="118" t="str">
        <f t="shared" si="2"/>
        <v/>
      </c>
      <c r="E40" s="120"/>
      <c r="F40" s="112"/>
      <c r="G40" s="111"/>
      <c r="H40" s="112"/>
      <c r="I40" s="111"/>
      <c r="J40" s="112"/>
      <c r="K40" s="111"/>
      <c r="L40" s="121"/>
      <c r="M40" s="124"/>
      <c r="N40" s="111"/>
      <c r="O40" s="121"/>
      <c r="P40" s="378">
        <f t="shared" si="3"/>
        <v>0</v>
      </c>
      <c r="Q40" s="379"/>
      <c r="R40" s="130" t="str">
        <f t="shared" si="4"/>
        <v/>
      </c>
      <c r="S40" s="113" t="str">
        <f t="shared" si="6"/>
        <v/>
      </c>
    </row>
    <row r="41" spans="1:19" ht="18" customHeight="1" x14ac:dyDescent="0.2">
      <c r="A41" s="224"/>
      <c r="B41" s="110" t="str">
        <f t="shared" ref="B41:B46" si="7">IF(A41="","",VLOOKUP(A41,jeans,2,FALSE))</f>
        <v/>
      </c>
      <c r="C41" s="110" t="str">
        <f t="shared" ref="C41:C46" si="8">IF(A41="","",VLOOKUP(A41,jeans,3,FALSE))</f>
        <v/>
      </c>
      <c r="D41" s="118" t="str">
        <f>IF(A41="","",VLOOKUP(A41,jeans,4,FALSE))</f>
        <v/>
      </c>
      <c r="E41" s="120"/>
      <c r="F41" s="112"/>
      <c r="G41" s="111"/>
      <c r="H41" s="112"/>
      <c r="I41" s="111"/>
      <c r="J41" s="112"/>
      <c r="K41" s="111"/>
      <c r="L41" s="121"/>
      <c r="M41" s="124"/>
      <c r="N41" s="111"/>
      <c r="O41" s="121"/>
      <c r="P41" s="378">
        <f t="shared" si="3"/>
        <v>0</v>
      </c>
      <c r="Q41" s="379"/>
      <c r="R41" s="130" t="str">
        <f>IF(A41="","",VLOOKUP(A41,jeans,5,FALSE))</f>
        <v/>
      </c>
      <c r="S41" s="113" t="str">
        <f t="shared" si="6"/>
        <v/>
      </c>
    </row>
    <row r="42" spans="1:19" ht="18" customHeight="1" x14ac:dyDescent="0.2">
      <c r="A42" s="224"/>
      <c r="B42" s="110" t="str">
        <f t="shared" si="7"/>
        <v/>
      </c>
      <c r="C42" s="110" t="str">
        <f t="shared" si="8"/>
        <v/>
      </c>
      <c r="D42" s="118" t="str">
        <f>IF(A42="","",VLOOKUP(A42,jeans,4,FALSE))</f>
        <v/>
      </c>
      <c r="E42" s="120"/>
      <c r="F42" s="112"/>
      <c r="G42" s="111"/>
      <c r="H42" s="112"/>
      <c r="I42" s="111"/>
      <c r="J42" s="112"/>
      <c r="K42" s="111"/>
      <c r="L42" s="121"/>
      <c r="M42" s="124"/>
      <c r="N42" s="111"/>
      <c r="O42" s="121"/>
      <c r="P42" s="378">
        <f t="shared" si="3"/>
        <v>0</v>
      </c>
      <c r="Q42" s="379"/>
      <c r="R42" s="130" t="str">
        <f>IF(A42="","",VLOOKUP(A42,jeans,5,FALSE))</f>
        <v/>
      </c>
      <c r="S42" s="113" t="str">
        <f t="shared" si="6"/>
        <v/>
      </c>
    </row>
    <row r="43" spans="1:19" ht="21" customHeight="1" thickBot="1" x14ac:dyDescent="0.25">
      <c r="A43" s="225"/>
      <c r="B43" s="114" t="str">
        <f t="shared" si="7"/>
        <v/>
      </c>
      <c r="C43" s="114" t="str">
        <f t="shared" si="8"/>
        <v/>
      </c>
      <c r="D43" s="119" t="str">
        <f>IF(A43="","",VLOOKUP(A43,jeans,4,FALSE))</f>
        <v/>
      </c>
      <c r="E43" s="122"/>
      <c r="F43" s="116"/>
      <c r="G43" s="115"/>
      <c r="H43" s="116"/>
      <c r="I43" s="115"/>
      <c r="J43" s="116"/>
      <c r="K43" s="115"/>
      <c r="L43" s="123"/>
      <c r="M43" s="125"/>
      <c r="N43" s="115"/>
      <c r="O43" s="123"/>
      <c r="P43" s="382">
        <f t="shared" si="3"/>
        <v>0</v>
      </c>
      <c r="Q43" s="383"/>
      <c r="R43" s="131" t="str">
        <f>IF(A43="","",VLOOKUP(A43,jeans,5,FALSE))</f>
        <v/>
      </c>
      <c r="S43" s="117" t="str">
        <f t="shared" si="5"/>
        <v/>
      </c>
    </row>
    <row r="44" spans="1:19" ht="18" hidden="1" customHeight="1" x14ac:dyDescent="0.2">
      <c r="A44" s="217"/>
      <c r="B44" s="48" t="str">
        <f t="shared" si="7"/>
        <v/>
      </c>
      <c r="C44" s="48" t="str">
        <f t="shared" si="8"/>
        <v/>
      </c>
      <c r="D44" s="48" t="str">
        <f t="shared" ref="D44:D61" si="9">IF(A44="","",VLOOKUP(A44,jeans,4,FALSE))</f>
        <v/>
      </c>
      <c r="E44" s="49"/>
      <c r="F44" s="50"/>
      <c r="G44" s="51"/>
      <c r="H44" s="50"/>
      <c r="I44" s="51"/>
      <c r="J44" s="50"/>
      <c r="K44" s="51"/>
      <c r="L44" s="52"/>
      <c r="M44" s="53"/>
      <c r="N44" s="51"/>
      <c r="O44" s="54"/>
      <c r="P44" s="404">
        <f t="shared" ref="P44:P61" si="10">SUM($E44:$O44)</f>
        <v>0</v>
      </c>
      <c r="Q44" s="405"/>
      <c r="R44" s="55" t="str">
        <f t="shared" ref="R44:R61" si="11">IF(A44="","",VLOOKUP(A44,jeans,5,FALSE))</f>
        <v/>
      </c>
      <c r="S44" s="56" t="str">
        <f t="shared" ref="S44:S61" si="12">IFERROR(P44*R44,"")</f>
        <v/>
      </c>
    </row>
    <row r="45" spans="1:19" ht="18" hidden="1" customHeight="1" x14ac:dyDescent="0.2">
      <c r="A45" s="218"/>
      <c r="B45" s="14" t="str">
        <f t="shared" si="7"/>
        <v/>
      </c>
      <c r="C45" s="14" t="str">
        <f t="shared" si="8"/>
        <v/>
      </c>
      <c r="D45" s="14" t="str">
        <f t="shared" si="9"/>
        <v/>
      </c>
      <c r="E45" s="2"/>
      <c r="F45" s="6"/>
      <c r="G45" s="3"/>
      <c r="H45" s="6"/>
      <c r="I45" s="3"/>
      <c r="J45" s="6"/>
      <c r="K45" s="3"/>
      <c r="L45" s="7"/>
      <c r="M45" s="11"/>
      <c r="N45" s="3"/>
      <c r="O45" s="10"/>
      <c r="P45" s="402">
        <f t="shared" si="10"/>
        <v>0</v>
      </c>
      <c r="Q45" s="403"/>
      <c r="R45" s="12" t="str">
        <f t="shared" si="11"/>
        <v/>
      </c>
      <c r="S45" s="4" t="str">
        <f t="shared" si="12"/>
        <v/>
      </c>
    </row>
    <row r="46" spans="1:19" ht="18" hidden="1" customHeight="1" x14ac:dyDescent="0.2">
      <c r="A46" s="218"/>
      <c r="B46" s="14" t="str">
        <f t="shared" si="7"/>
        <v/>
      </c>
      <c r="C46" s="14" t="str">
        <f t="shared" si="8"/>
        <v/>
      </c>
      <c r="D46" s="14" t="str">
        <f t="shared" si="9"/>
        <v/>
      </c>
      <c r="E46" s="2"/>
      <c r="F46" s="6"/>
      <c r="G46" s="3"/>
      <c r="H46" s="6"/>
      <c r="I46" s="3"/>
      <c r="J46" s="6"/>
      <c r="K46" s="3"/>
      <c r="L46" s="7"/>
      <c r="M46" s="11"/>
      <c r="N46" s="3"/>
      <c r="O46" s="10"/>
      <c r="P46" s="402">
        <f t="shared" si="10"/>
        <v>0</v>
      </c>
      <c r="Q46" s="403"/>
      <c r="R46" s="12" t="str">
        <f t="shared" si="11"/>
        <v/>
      </c>
      <c r="S46" s="4" t="str">
        <f t="shared" si="12"/>
        <v/>
      </c>
    </row>
    <row r="47" spans="1:19" ht="18" hidden="1" customHeight="1" x14ac:dyDescent="0.2">
      <c r="A47" s="218"/>
      <c r="B47" s="14" t="str">
        <f t="shared" ref="B47:B52" si="13">IF(A47="","",VLOOKUP(A47,jeans,2,FALSE))</f>
        <v/>
      </c>
      <c r="C47" s="14" t="str">
        <f t="shared" ref="C47:C52" si="14">IF(A47="","",VLOOKUP(A47,jeans,3,FALSE))</f>
        <v/>
      </c>
      <c r="D47" s="14" t="str">
        <f t="shared" si="9"/>
        <v/>
      </c>
      <c r="E47" s="2"/>
      <c r="F47" s="6"/>
      <c r="G47" s="3"/>
      <c r="H47" s="6"/>
      <c r="I47" s="3"/>
      <c r="J47" s="6"/>
      <c r="K47" s="3"/>
      <c r="L47" s="7"/>
      <c r="M47" s="11"/>
      <c r="N47" s="3"/>
      <c r="O47" s="10"/>
      <c r="P47" s="402">
        <f t="shared" si="10"/>
        <v>0</v>
      </c>
      <c r="Q47" s="403"/>
      <c r="R47" s="12" t="str">
        <f t="shared" si="11"/>
        <v/>
      </c>
      <c r="S47" s="4" t="str">
        <f t="shared" si="12"/>
        <v/>
      </c>
    </row>
    <row r="48" spans="1:19" ht="18" hidden="1" customHeight="1" x14ac:dyDescent="0.2">
      <c r="A48" s="218"/>
      <c r="B48" s="14" t="str">
        <f t="shared" si="13"/>
        <v/>
      </c>
      <c r="C48" s="14" t="str">
        <f t="shared" si="14"/>
        <v/>
      </c>
      <c r="D48" s="14" t="str">
        <f t="shared" si="9"/>
        <v/>
      </c>
      <c r="E48" s="2"/>
      <c r="F48" s="6"/>
      <c r="G48" s="3"/>
      <c r="H48" s="6"/>
      <c r="I48" s="3"/>
      <c r="J48" s="6"/>
      <c r="K48" s="3"/>
      <c r="L48" s="7"/>
      <c r="M48" s="11"/>
      <c r="N48" s="3"/>
      <c r="O48" s="10"/>
      <c r="P48" s="402">
        <f t="shared" si="10"/>
        <v>0</v>
      </c>
      <c r="Q48" s="403"/>
      <c r="R48" s="12" t="str">
        <f t="shared" si="11"/>
        <v/>
      </c>
      <c r="S48" s="4" t="str">
        <f t="shared" si="12"/>
        <v/>
      </c>
    </row>
    <row r="49" spans="1:19" ht="18" hidden="1" customHeight="1" x14ac:dyDescent="0.2">
      <c r="A49" s="218"/>
      <c r="B49" s="14" t="str">
        <f t="shared" si="13"/>
        <v/>
      </c>
      <c r="C49" s="14" t="str">
        <f t="shared" si="14"/>
        <v/>
      </c>
      <c r="D49" s="14" t="str">
        <f t="shared" si="9"/>
        <v/>
      </c>
      <c r="E49" s="2"/>
      <c r="F49" s="6"/>
      <c r="G49" s="3"/>
      <c r="H49" s="6"/>
      <c r="I49" s="3"/>
      <c r="J49" s="6"/>
      <c r="K49" s="3"/>
      <c r="L49" s="7"/>
      <c r="M49" s="11"/>
      <c r="N49" s="3"/>
      <c r="O49" s="10"/>
      <c r="P49" s="402">
        <f t="shared" si="10"/>
        <v>0</v>
      </c>
      <c r="Q49" s="403"/>
      <c r="R49" s="12" t="str">
        <f t="shared" si="11"/>
        <v/>
      </c>
      <c r="S49" s="4" t="str">
        <f t="shared" si="12"/>
        <v/>
      </c>
    </row>
    <row r="50" spans="1:19" ht="18" hidden="1" customHeight="1" x14ac:dyDescent="0.2">
      <c r="A50" s="218"/>
      <c r="B50" s="14" t="str">
        <f t="shared" si="13"/>
        <v/>
      </c>
      <c r="C50" s="14" t="str">
        <f t="shared" si="14"/>
        <v/>
      </c>
      <c r="D50" s="14" t="str">
        <f t="shared" si="9"/>
        <v/>
      </c>
      <c r="E50" s="2"/>
      <c r="F50" s="6"/>
      <c r="G50" s="3"/>
      <c r="H50" s="6"/>
      <c r="I50" s="3"/>
      <c r="J50" s="6"/>
      <c r="K50" s="3"/>
      <c r="L50" s="7"/>
      <c r="M50" s="11"/>
      <c r="N50" s="3"/>
      <c r="O50" s="10"/>
      <c r="P50" s="402">
        <f t="shared" si="10"/>
        <v>0</v>
      </c>
      <c r="Q50" s="403"/>
      <c r="R50" s="12" t="str">
        <f t="shared" si="11"/>
        <v/>
      </c>
      <c r="S50" s="4" t="str">
        <f t="shared" si="12"/>
        <v/>
      </c>
    </row>
    <row r="51" spans="1:19" ht="18" hidden="1" customHeight="1" x14ac:dyDescent="0.2">
      <c r="A51" s="218"/>
      <c r="B51" s="14" t="str">
        <f t="shared" si="13"/>
        <v/>
      </c>
      <c r="C51" s="14" t="str">
        <f t="shared" si="14"/>
        <v/>
      </c>
      <c r="D51" s="14" t="str">
        <f t="shared" si="9"/>
        <v/>
      </c>
      <c r="E51" s="2"/>
      <c r="F51" s="6"/>
      <c r="G51" s="3"/>
      <c r="H51" s="6"/>
      <c r="I51" s="3"/>
      <c r="J51" s="6"/>
      <c r="K51" s="3"/>
      <c r="L51" s="7"/>
      <c r="M51" s="11"/>
      <c r="N51" s="3"/>
      <c r="O51" s="10"/>
      <c r="P51" s="402">
        <f t="shared" si="10"/>
        <v>0</v>
      </c>
      <c r="Q51" s="403"/>
      <c r="R51" s="12" t="str">
        <f t="shared" si="11"/>
        <v/>
      </c>
      <c r="S51" s="4" t="str">
        <f t="shared" si="12"/>
        <v/>
      </c>
    </row>
    <row r="52" spans="1:19" ht="18" hidden="1" customHeight="1" x14ac:dyDescent="0.2">
      <c r="A52" s="218"/>
      <c r="B52" s="14" t="str">
        <f t="shared" si="13"/>
        <v/>
      </c>
      <c r="C52" s="14" t="str">
        <f t="shared" si="14"/>
        <v/>
      </c>
      <c r="D52" s="14" t="str">
        <f t="shared" si="9"/>
        <v/>
      </c>
      <c r="E52" s="2"/>
      <c r="F52" s="6"/>
      <c r="G52" s="3"/>
      <c r="H52" s="6"/>
      <c r="I52" s="3"/>
      <c r="J52" s="6"/>
      <c r="K52" s="3"/>
      <c r="L52" s="7"/>
      <c r="M52" s="11"/>
      <c r="N52" s="3"/>
      <c r="O52" s="10"/>
      <c r="P52" s="402">
        <f t="shared" si="10"/>
        <v>0</v>
      </c>
      <c r="Q52" s="403"/>
      <c r="R52" s="12" t="str">
        <f t="shared" si="11"/>
        <v/>
      </c>
      <c r="S52" s="4" t="str">
        <f t="shared" si="12"/>
        <v/>
      </c>
    </row>
    <row r="53" spans="1:19" ht="18" hidden="1" customHeight="1" x14ac:dyDescent="0.2">
      <c r="A53" s="218"/>
      <c r="B53" s="14" t="str">
        <f t="shared" ref="B53:B61" si="15">IF(A53="","",VLOOKUP(A53,jeans,2,FALSE))</f>
        <v/>
      </c>
      <c r="C53" s="14" t="str">
        <f t="shared" ref="C53:C61" si="16">IF(A53="","",VLOOKUP(A53,jeans,3,FALSE))</f>
        <v/>
      </c>
      <c r="D53" s="14" t="str">
        <f t="shared" si="9"/>
        <v/>
      </c>
      <c r="E53" s="2"/>
      <c r="F53" s="6"/>
      <c r="G53" s="3"/>
      <c r="H53" s="6"/>
      <c r="I53" s="3"/>
      <c r="J53" s="6"/>
      <c r="K53" s="3"/>
      <c r="L53" s="7"/>
      <c r="M53" s="11"/>
      <c r="N53" s="3"/>
      <c r="O53" s="10"/>
      <c r="P53" s="402">
        <f t="shared" si="10"/>
        <v>0</v>
      </c>
      <c r="Q53" s="403"/>
      <c r="R53" s="12" t="str">
        <f t="shared" si="11"/>
        <v/>
      </c>
      <c r="S53" s="4" t="str">
        <f t="shared" si="12"/>
        <v/>
      </c>
    </row>
    <row r="54" spans="1:19" ht="18" hidden="1" customHeight="1" x14ac:dyDescent="0.2">
      <c r="A54" s="218"/>
      <c r="B54" s="14" t="str">
        <f t="shared" si="15"/>
        <v/>
      </c>
      <c r="C54" s="14" t="str">
        <f t="shared" si="16"/>
        <v/>
      </c>
      <c r="D54" s="14" t="str">
        <f t="shared" si="9"/>
        <v/>
      </c>
      <c r="E54" s="2"/>
      <c r="F54" s="6"/>
      <c r="G54" s="3"/>
      <c r="H54" s="6"/>
      <c r="I54" s="3"/>
      <c r="J54" s="6"/>
      <c r="K54" s="3"/>
      <c r="L54" s="7"/>
      <c r="M54" s="11"/>
      <c r="N54" s="3"/>
      <c r="O54" s="10"/>
      <c r="P54" s="402">
        <f t="shared" si="10"/>
        <v>0</v>
      </c>
      <c r="Q54" s="403"/>
      <c r="R54" s="12" t="str">
        <f t="shared" si="11"/>
        <v/>
      </c>
      <c r="S54" s="4" t="str">
        <f t="shared" si="12"/>
        <v/>
      </c>
    </row>
    <row r="55" spans="1:19" ht="18" hidden="1" customHeight="1" x14ac:dyDescent="0.2">
      <c r="A55" s="218"/>
      <c r="B55" s="14" t="str">
        <f t="shared" si="15"/>
        <v/>
      </c>
      <c r="C55" s="14" t="str">
        <f t="shared" si="16"/>
        <v/>
      </c>
      <c r="D55" s="14" t="str">
        <f t="shared" si="9"/>
        <v/>
      </c>
      <c r="E55" s="2"/>
      <c r="F55" s="6"/>
      <c r="G55" s="3"/>
      <c r="H55" s="6"/>
      <c r="I55" s="3"/>
      <c r="J55" s="6"/>
      <c r="K55" s="3"/>
      <c r="L55" s="7"/>
      <c r="M55" s="11"/>
      <c r="N55" s="3"/>
      <c r="O55" s="10"/>
      <c r="P55" s="402">
        <f t="shared" si="10"/>
        <v>0</v>
      </c>
      <c r="Q55" s="403"/>
      <c r="R55" s="12" t="str">
        <f t="shared" si="11"/>
        <v/>
      </c>
      <c r="S55" s="4" t="str">
        <f t="shared" si="12"/>
        <v/>
      </c>
    </row>
    <row r="56" spans="1:19" ht="18" hidden="1" customHeight="1" x14ac:dyDescent="0.2">
      <c r="A56" s="218"/>
      <c r="B56" s="14" t="str">
        <f t="shared" si="15"/>
        <v/>
      </c>
      <c r="C56" s="14" t="str">
        <f t="shared" si="16"/>
        <v/>
      </c>
      <c r="D56" s="14" t="str">
        <f t="shared" si="9"/>
        <v/>
      </c>
      <c r="E56" s="2"/>
      <c r="F56" s="6"/>
      <c r="G56" s="3"/>
      <c r="H56" s="6"/>
      <c r="I56" s="3"/>
      <c r="J56" s="6"/>
      <c r="K56" s="3"/>
      <c r="L56" s="7"/>
      <c r="M56" s="11"/>
      <c r="N56" s="3"/>
      <c r="O56" s="10"/>
      <c r="P56" s="402">
        <f t="shared" si="10"/>
        <v>0</v>
      </c>
      <c r="Q56" s="403"/>
      <c r="R56" s="12" t="str">
        <f t="shared" si="11"/>
        <v/>
      </c>
      <c r="S56" s="4" t="str">
        <f t="shared" si="12"/>
        <v/>
      </c>
    </row>
    <row r="57" spans="1:19" ht="18" hidden="1" customHeight="1" x14ac:dyDescent="0.2">
      <c r="A57" s="218"/>
      <c r="B57" s="14" t="str">
        <f t="shared" si="15"/>
        <v/>
      </c>
      <c r="C57" s="14" t="str">
        <f t="shared" si="16"/>
        <v/>
      </c>
      <c r="D57" s="14" t="str">
        <f t="shared" si="9"/>
        <v/>
      </c>
      <c r="E57" s="2"/>
      <c r="F57" s="6"/>
      <c r="G57" s="3"/>
      <c r="H57" s="6"/>
      <c r="I57" s="3"/>
      <c r="J57" s="6"/>
      <c r="K57" s="3"/>
      <c r="L57" s="7"/>
      <c r="M57" s="11"/>
      <c r="N57" s="3"/>
      <c r="O57" s="10"/>
      <c r="P57" s="402">
        <f t="shared" si="10"/>
        <v>0</v>
      </c>
      <c r="Q57" s="403"/>
      <c r="R57" s="12" t="str">
        <f t="shared" si="11"/>
        <v/>
      </c>
      <c r="S57" s="4" t="str">
        <f t="shared" si="12"/>
        <v/>
      </c>
    </row>
    <row r="58" spans="1:19" ht="18" hidden="1" customHeight="1" x14ac:dyDescent="0.2">
      <c r="A58" s="218"/>
      <c r="B58" s="14" t="str">
        <f t="shared" si="15"/>
        <v/>
      </c>
      <c r="C58" s="14" t="str">
        <f t="shared" si="16"/>
        <v/>
      </c>
      <c r="D58" s="14" t="str">
        <f t="shared" si="9"/>
        <v/>
      </c>
      <c r="E58" s="2"/>
      <c r="F58" s="6"/>
      <c r="G58" s="3"/>
      <c r="H58" s="6"/>
      <c r="I58" s="3"/>
      <c r="J58" s="6"/>
      <c r="K58" s="3"/>
      <c r="L58" s="7"/>
      <c r="M58" s="11"/>
      <c r="N58" s="3"/>
      <c r="O58" s="10"/>
      <c r="P58" s="402">
        <f t="shared" si="10"/>
        <v>0</v>
      </c>
      <c r="Q58" s="403"/>
      <c r="R58" s="12" t="str">
        <f t="shared" si="11"/>
        <v/>
      </c>
      <c r="S58" s="4" t="str">
        <f t="shared" si="12"/>
        <v/>
      </c>
    </row>
    <row r="59" spans="1:19" ht="18" hidden="1" customHeight="1" x14ac:dyDescent="0.2">
      <c r="A59" s="218"/>
      <c r="B59" s="14" t="str">
        <f t="shared" si="15"/>
        <v/>
      </c>
      <c r="C59" s="14" t="str">
        <f t="shared" si="16"/>
        <v/>
      </c>
      <c r="D59" s="14" t="str">
        <f t="shared" si="9"/>
        <v/>
      </c>
      <c r="E59" s="2"/>
      <c r="F59" s="6"/>
      <c r="G59" s="3"/>
      <c r="H59" s="6"/>
      <c r="I59" s="3"/>
      <c r="J59" s="6"/>
      <c r="K59" s="3"/>
      <c r="L59" s="7"/>
      <c r="M59" s="11"/>
      <c r="N59" s="3"/>
      <c r="O59" s="10"/>
      <c r="P59" s="402">
        <f t="shared" si="10"/>
        <v>0</v>
      </c>
      <c r="Q59" s="403"/>
      <c r="R59" s="12" t="str">
        <f t="shared" si="11"/>
        <v/>
      </c>
      <c r="S59" s="4" t="str">
        <f t="shared" si="12"/>
        <v/>
      </c>
    </row>
    <row r="60" spans="1:19" ht="18" hidden="1" customHeight="1" x14ac:dyDescent="0.2">
      <c r="A60" s="218"/>
      <c r="B60" s="14" t="str">
        <f t="shared" si="15"/>
        <v/>
      </c>
      <c r="C60" s="14" t="str">
        <f t="shared" si="16"/>
        <v/>
      </c>
      <c r="D60" s="14" t="str">
        <f t="shared" si="9"/>
        <v/>
      </c>
      <c r="E60" s="2"/>
      <c r="F60" s="6"/>
      <c r="G60" s="3"/>
      <c r="H60" s="6"/>
      <c r="I60" s="3"/>
      <c r="J60" s="6"/>
      <c r="K60" s="3"/>
      <c r="L60" s="7"/>
      <c r="M60" s="11"/>
      <c r="N60" s="3"/>
      <c r="O60" s="10"/>
      <c r="P60" s="402">
        <f t="shared" si="10"/>
        <v>0</v>
      </c>
      <c r="Q60" s="403"/>
      <c r="R60" s="12" t="str">
        <f t="shared" si="11"/>
        <v/>
      </c>
      <c r="S60" s="4" t="str">
        <f t="shared" si="12"/>
        <v/>
      </c>
    </row>
    <row r="61" spans="1:19" ht="18" hidden="1" customHeight="1" thickBot="1" x14ac:dyDescent="0.25">
      <c r="A61" s="219"/>
      <c r="B61" s="126" t="str">
        <f t="shared" si="15"/>
        <v/>
      </c>
      <c r="C61" s="14" t="str">
        <f t="shared" si="16"/>
        <v/>
      </c>
      <c r="D61" s="14" t="str">
        <f t="shared" si="9"/>
        <v/>
      </c>
      <c r="E61" s="127"/>
      <c r="F61" s="39"/>
      <c r="G61" s="40"/>
      <c r="H61" s="39"/>
      <c r="I61" s="40"/>
      <c r="J61" s="39"/>
      <c r="K61" s="40"/>
      <c r="L61" s="41"/>
      <c r="M61" s="42"/>
      <c r="N61" s="40"/>
      <c r="O61" s="43"/>
      <c r="P61" s="402">
        <f t="shared" si="10"/>
        <v>0</v>
      </c>
      <c r="Q61" s="403"/>
      <c r="R61" s="44" t="str">
        <f t="shared" si="11"/>
        <v/>
      </c>
      <c r="S61" s="45" t="str">
        <f t="shared" si="12"/>
        <v/>
      </c>
    </row>
    <row r="62" spans="1:19" ht="18" customHeight="1" thickTop="1" thickBot="1" x14ac:dyDescent="0.25">
      <c r="A62" s="316" t="s">
        <v>20</v>
      </c>
      <c r="B62" s="317"/>
      <c r="C62" s="317"/>
      <c r="D62" s="318"/>
      <c r="E62" s="313" t="s">
        <v>1412</v>
      </c>
      <c r="F62" s="314"/>
      <c r="G62" s="314"/>
      <c r="H62" s="314"/>
      <c r="I62" s="314"/>
      <c r="J62" s="314"/>
      <c r="K62" s="314"/>
      <c r="L62" s="314"/>
      <c r="M62" s="314"/>
      <c r="N62" s="314"/>
      <c r="O62" s="315"/>
      <c r="P62" s="406">
        <f>SUM(P15:P61)</f>
        <v>0</v>
      </c>
      <c r="Q62" s="407"/>
      <c r="R62" s="132" t="s">
        <v>19</v>
      </c>
      <c r="S62" s="133">
        <f>SUM(S15:S61)</f>
        <v>0</v>
      </c>
    </row>
    <row r="63" spans="1:19" ht="18" customHeight="1" x14ac:dyDescent="0.2">
      <c r="A63" s="319" t="s">
        <v>32</v>
      </c>
      <c r="B63" s="320"/>
      <c r="C63" s="320"/>
      <c r="D63" s="320"/>
      <c r="E63" s="320"/>
      <c r="F63" s="320"/>
      <c r="G63" s="320"/>
      <c r="H63" s="320"/>
      <c r="I63" s="320"/>
      <c r="J63" s="320"/>
      <c r="K63" s="320"/>
      <c r="L63" s="320"/>
      <c r="M63" s="320"/>
      <c r="N63" s="320"/>
      <c r="O63" s="321"/>
      <c r="P63" s="128"/>
      <c r="Q63" s="128"/>
      <c r="R63" s="134" t="s">
        <v>14</v>
      </c>
      <c r="S63" s="135">
        <f>S62*19%</f>
        <v>0</v>
      </c>
    </row>
    <row r="64" spans="1:19" ht="18" customHeight="1" thickBot="1" x14ac:dyDescent="0.25">
      <c r="A64" s="310" t="s">
        <v>1035</v>
      </c>
      <c r="B64" s="311"/>
      <c r="C64" s="311"/>
      <c r="D64" s="311"/>
      <c r="E64" s="311"/>
      <c r="F64" s="311"/>
      <c r="G64" s="311"/>
      <c r="H64" s="311"/>
      <c r="I64" s="311"/>
      <c r="J64" s="311"/>
      <c r="K64" s="311"/>
      <c r="L64" s="311"/>
      <c r="M64" s="311"/>
      <c r="N64" s="311"/>
      <c r="O64" s="312"/>
      <c r="P64" s="285"/>
      <c r="Q64" s="286"/>
      <c r="R64" s="136" t="s">
        <v>13</v>
      </c>
      <c r="S64" s="137">
        <f>S62+S63</f>
        <v>0</v>
      </c>
    </row>
    <row r="65" spans="2:19" ht="18" customHeight="1" x14ac:dyDescent="0.2">
      <c r="P65" s="9"/>
      <c r="Q65" s="8"/>
    </row>
    <row r="66" spans="2:19" ht="18" customHeight="1" x14ac:dyDescent="0.2">
      <c r="S66" s="22"/>
    </row>
    <row r="67" spans="2:19" ht="18" customHeight="1" x14ac:dyDescent="0.2"/>
    <row r="68" spans="2:19" ht="18" customHeight="1" x14ac:dyDescent="0.25">
      <c r="B68" s="13"/>
    </row>
    <row r="69" spans="2:19" ht="18" customHeight="1" x14ac:dyDescent="0.2"/>
    <row r="70" spans="2:19" ht="18" customHeight="1" x14ac:dyDescent="0.2"/>
    <row r="71" spans="2:19" ht="18" customHeight="1" x14ac:dyDescent="0.2"/>
    <row r="72" spans="2:19" ht="18" customHeight="1" x14ac:dyDescent="0.2"/>
    <row r="73" spans="2:19" ht="18" customHeight="1" x14ac:dyDescent="0.2"/>
    <row r="74" spans="2:19" ht="18" customHeight="1" x14ac:dyDescent="0.2"/>
    <row r="75" spans="2:19" ht="18" customHeight="1" x14ac:dyDescent="0.2"/>
    <row r="76" spans="2:19" ht="18" customHeight="1" x14ac:dyDescent="0.2"/>
    <row r="77" spans="2:19" ht="18" customHeight="1" x14ac:dyDescent="0.2"/>
    <row r="78" spans="2:19" ht="18" customHeight="1" x14ac:dyDescent="0.2"/>
    <row r="79" spans="2:19" ht="18" customHeight="1" x14ac:dyDescent="0.2"/>
    <row r="80" spans="2:19" ht="18" customHeight="1" x14ac:dyDescent="0.2"/>
    <row r="81" spans="1:20" ht="18" customHeight="1" x14ac:dyDescent="0.2"/>
    <row r="82" spans="1:20" ht="18" customHeight="1" x14ac:dyDescent="0.2"/>
    <row r="83" spans="1:20" ht="18" customHeight="1" x14ac:dyDescent="0.2"/>
    <row r="84" spans="1:20" ht="18" customHeight="1" x14ac:dyDescent="0.2"/>
    <row r="85" spans="1:20" ht="18" customHeight="1" x14ac:dyDescent="0.2"/>
    <row r="86" spans="1:20" ht="18" customHeight="1" x14ac:dyDescent="0.2"/>
    <row r="87" spans="1:20" ht="18" customHeight="1" x14ac:dyDescent="0.2"/>
    <row r="88" spans="1:20" ht="18" customHeight="1" x14ac:dyDescent="0.2"/>
    <row r="89" spans="1:20" s="5" customFormat="1" ht="18" customHeight="1" x14ac:dyDescent="0.2">
      <c r="A89" s="220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6"/>
    </row>
    <row r="90" spans="1:20" s="5" customFormat="1" ht="18" customHeight="1" x14ac:dyDescent="0.2">
      <c r="A90" s="220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6"/>
    </row>
    <row r="91" spans="1:20" s="5" customFormat="1" ht="18" customHeight="1" x14ac:dyDescent="0.2">
      <c r="A91" s="22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6"/>
    </row>
    <row r="92" spans="1:20" s="5" customFormat="1" ht="18" customHeight="1" x14ac:dyDescent="0.2">
      <c r="A92" s="220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6"/>
    </row>
  </sheetData>
  <sheetProtection selectLockedCells="1"/>
  <mergeCells count="105">
    <mergeCell ref="P51:Q51"/>
    <mergeCell ref="P52:Q52"/>
    <mergeCell ref="P37:Q37"/>
    <mergeCell ref="P38:Q38"/>
    <mergeCell ref="P39:Q39"/>
    <mergeCell ref="P40:Q40"/>
    <mergeCell ref="P44:Q44"/>
    <mergeCell ref="P45:Q45"/>
    <mergeCell ref="P62:Q62"/>
    <mergeCell ref="P13:Q13"/>
    <mergeCell ref="P61:Q61"/>
    <mergeCell ref="P58:Q58"/>
    <mergeCell ref="P59:Q59"/>
    <mergeCell ref="P60:Q60"/>
    <mergeCell ref="P57:Q57"/>
    <mergeCell ref="P42:Q42"/>
    <mergeCell ref="P46:Q46"/>
    <mergeCell ref="P19:Q19"/>
    <mergeCell ref="P20:Q20"/>
    <mergeCell ref="P21:Q21"/>
    <mergeCell ref="P22:Q22"/>
    <mergeCell ref="P23:Q23"/>
    <mergeCell ref="P15:Q15"/>
    <mergeCell ref="P31:Q31"/>
    <mergeCell ref="P53:Q53"/>
    <mergeCell ref="P54:Q54"/>
    <mergeCell ref="P55:Q55"/>
    <mergeCell ref="P56:Q56"/>
    <mergeCell ref="P47:Q47"/>
    <mergeCell ref="P48:Q48"/>
    <mergeCell ref="P49:Q49"/>
    <mergeCell ref="P50:Q50"/>
    <mergeCell ref="P24:Q24"/>
    <mergeCell ref="P25:Q25"/>
    <mergeCell ref="P32:Q32"/>
    <mergeCell ref="P33:Q33"/>
    <mergeCell ref="P34:Q34"/>
    <mergeCell ref="P41:Q41"/>
    <mergeCell ref="P26:Q26"/>
    <mergeCell ref="P27:Q27"/>
    <mergeCell ref="P28:Q28"/>
    <mergeCell ref="P30:Q30"/>
    <mergeCell ref="P35:Q35"/>
    <mergeCell ref="P36:Q36"/>
    <mergeCell ref="P29:Q29"/>
    <mergeCell ref="R5:S5"/>
    <mergeCell ref="R6:S6"/>
    <mergeCell ref="P16:Q16"/>
    <mergeCell ref="P18:Q18"/>
    <mergeCell ref="P17:Q17"/>
    <mergeCell ref="G13:J13"/>
    <mergeCell ref="K13:O13"/>
    <mergeCell ref="P43:Q43"/>
    <mergeCell ref="R7:S7"/>
    <mergeCell ref="P14:Q14"/>
    <mergeCell ref="P9:Q10"/>
    <mergeCell ref="R9:S10"/>
    <mergeCell ref="P7:Q7"/>
    <mergeCell ref="P8:Q8"/>
    <mergeCell ref="P11:Q11"/>
    <mergeCell ref="P12:Q12"/>
    <mergeCell ref="G8:J8"/>
    <mergeCell ref="G9:J9"/>
    <mergeCell ref="G7:J7"/>
    <mergeCell ref="G11:J11"/>
    <mergeCell ref="K12:O12"/>
    <mergeCell ref="M11:O11"/>
    <mergeCell ref="K11:L11"/>
    <mergeCell ref="K10:O10"/>
    <mergeCell ref="A7:C7"/>
    <mergeCell ref="A8:C9"/>
    <mergeCell ref="K8:O8"/>
    <mergeCell ref="D1:F2"/>
    <mergeCell ref="D3:F4"/>
    <mergeCell ref="D5:F6"/>
    <mergeCell ref="G3:J3"/>
    <mergeCell ref="G5:J5"/>
    <mergeCell ref="G4:J4"/>
    <mergeCell ref="G6:J6"/>
    <mergeCell ref="G1:J1"/>
    <mergeCell ref="G2:J2"/>
    <mergeCell ref="D7:F8"/>
    <mergeCell ref="D9:F10"/>
    <mergeCell ref="K7:O7"/>
    <mergeCell ref="K2:S2"/>
    <mergeCell ref="K3:S3"/>
    <mergeCell ref="P5:Q5"/>
    <mergeCell ref="K4:S4"/>
    <mergeCell ref="P6:Q6"/>
    <mergeCell ref="K6:O6"/>
    <mergeCell ref="K5:O5"/>
    <mergeCell ref="K1:S1"/>
    <mergeCell ref="R8:S8"/>
    <mergeCell ref="G10:J10"/>
    <mergeCell ref="D11:F12"/>
    <mergeCell ref="A64:O64"/>
    <mergeCell ref="E62:O62"/>
    <mergeCell ref="A62:D62"/>
    <mergeCell ref="A63:O63"/>
    <mergeCell ref="K9:O9"/>
    <mergeCell ref="A10:C10"/>
    <mergeCell ref="A11:C11"/>
    <mergeCell ref="A12:C12"/>
    <mergeCell ref="A13:F13"/>
    <mergeCell ref="G12:J12"/>
  </mergeCells>
  <phoneticPr fontId="2" type="noConversion"/>
  <conditionalFormatting sqref="A15:A43">
    <cfRule type="duplicateValues" dxfId="47" priority="531"/>
  </conditionalFormatting>
  <conditionalFormatting sqref="A15:A61">
    <cfRule type="duplicateValues" dxfId="46" priority="532"/>
    <cfRule type="duplicateValues" dxfId="45" priority="533"/>
  </conditionalFormatting>
  <conditionalFormatting sqref="A44:A56">
    <cfRule type="duplicateValues" dxfId="44" priority="193"/>
  </conditionalFormatting>
  <conditionalFormatting sqref="A57:A60">
    <cfRule type="duplicateValues" dxfId="43" priority="190"/>
  </conditionalFormatting>
  <conditionalFormatting sqref="A58">
    <cfRule type="duplicateValues" dxfId="42" priority="60"/>
  </conditionalFormatting>
  <conditionalFormatting sqref="A59">
    <cfRule type="duplicateValues" dxfId="41" priority="57"/>
  </conditionalFormatting>
  <conditionalFormatting sqref="A60">
    <cfRule type="duplicateValues" dxfId="40" priority="54"/>
  </conditionalFormatting>
  <conditionalFormatting sqref="A61">
    <cfRule type="duplicateValues" dxfId="39" priority="467"/>
  </conditionalFormatting>
  <printOptions horizontalCentered="1"/>
  <pageMargins left="0.39370078740157483" right="0.39370078740157483" top="0.78740157480314965" bottom="0.19685039370078741" header="0" footer="0"/>
  <pageSetup scale="47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4810-ABD7-48F1-A873-FBEF6AAEF708}">
  <sheetPr codeName="Hoja8"/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048EC-DB00-4408-92DE-09D8542AAEF8}">
  <sheetPr codeName="Hoja10"/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Q388"/>
  <sheetViews>
    <sheetView showGridLines="0" topLeftCell="A313" zoomScaleNormal="100" workbookViewId="0">
      <selection activeCell="B363" sqref="B363"/>
    </sheetView>
  </sheetViews>
  <sheetFormatPr baseColWidth="10" defaultColWidth="11.42578125" defaultRowHeight="15.75" x14ac:dyDescent="0.25"/>
  <cols>
    <col min="1" max="1" width="12.42578125" style="251" bestFit="1" customWidth="1"/>
    <col min="2" max="2" width="78.42578125" style="46" customWidth="1"/>
    <col min="3" max="3" width="25" style="46" customWidth="1"/>
    <col min="4" max="4" width="16" style="46" customWidth="1"/>
    <col min="5" max="5" width="9.7109375" style="47" customWidth="1"/>
    <col min="6" max="7" width="11.42578125" style="46"/>
    <col min="8" max="8" width="40.28515625" style="46" bestFit="1" customWidth="1"/>
    <col min="9" max="13" width="11.42578125" style="46"/>
    <col min="14" max="14" width="19.5703125" style="46" customWidth="1"/>
    <col min="15" max="15" width="31.5703125" style="46" customWidth="1"/>
    <col min="16" max="16384" width="11.42578125" style="46"/>
  </cols>
  <sheetData>
    <row r="1" spans="1:5" s="150" customFormat="1" ht="21.6" customHeight="1" x14ac:dyDescent="0.25">
      <c r="A1" s="252" t="s">
        <v>9</v>
      </c>
      <c r="B1" s="157" t="s">
        <v>1421</v>
      </c>
      <c r="C1" s="157" t="s">
        <v>10</v>
      </c>
      <c r="D1" s="158" t="s">
        <v>1028</v>
      </c>
      <c r="E1" s="157" t="s">
        <v>1420</v>
      </c>
    </row>
    <row r="2" spans="1:5" ht="19.149999999999999" customHeight="1" x14ac:dyDescent="0.25">
      <c r="A2" s="253">
        <v>3801</v>
      </c>
      <c r="B2" s="159" t="s">
        <v>1090</v>
      </c>
      <c r="C2" s="151" t="s">
        <v>678</v>
      </c>
      <c r="D2" s="151" t="s">
        <v>676</v>
      </c>
      <c r="E2" s="152">
        <v>24990</v>
      </c>
    </row>
    <row r="3" spans="1:5" ht="19.149999999999999" customHeight="1" x14ac:dyDescent="0.25">
      <c r="A3" s="253">
        <v>3802</v>
      </c>
      <c r="B3" s="159" t="s">
        <v>1072</v>
      </c>
      <c r="C3" s="151" t="s">
        <v>678</v>
      </c>
      <c r="D3" s="151" t="s">
        <v>681</v>
      </c>
      <c r="E3" s="152">
        <v>25990</v>
      </c>
    </row>
    <row r="4" spans="1:5" ht="19.149999999999999" customHeight="1" x14ac:dyDescent="0.25">
      <c r="A4" s="253">
        <v>3818</v>
      </c>
      <c r="B4" s="159" t="s">
        <v>1422</v>
      </c>
      <c r="C4" s="151" t="s">
        <v>678</v>
      </c>
      <c r="D4" s="151" t="s">
        <v>680</v>
      </c>
      <c r="E4" s="152">
        <v>24990</v>
      </c>
    </row>
    <row r="5" spans="1:5" ht="19.149999999999999" customHeight="1" x14ac:dyDescent="0.25">
      <c r="A5" s="253" t="s">
        <v>1038</v>
      </c>
      <c r="B5" s="159" t="s">
        <v>1415</v>
      </c>
      <c r="C5" s="151" t="s">
        <v>677</v>
      </c>
      <c r="D5" s="151" t="s">
        <v>681</v>
      </c>
      <c r="E5" s="152">
        <v>24990</v>
      </c>
    </row>
    <row r="6" spans="1:5" ht="19.149999999999999" customHeight="1" x14ac:dyDescent="0.25">
      <c r="A6" s="253" t="s">
        <v>1039</v>
      </c>
      <c r="B6" s="159" t="s">
        <v>1416</v>
      </c>
      <c r="C6" s="151" t="s">
        <v>677</v>
      </c>
      <c r="D6" s="151" t="s">
        <v>681</v>
      </c>
      <c r="E6" s="152">
        <v>24990</v>
      </c>
    </row>
    <row r="7" spans="1:5" ht="19.149999999999999" customHeight="1" x14ac:dyDescent="0.25">
      <c r="A7" s="253">
        <v>3826</v>
      </c>
      <c r="B7" s="159" t="s">
        <v>1058</v>
      </c>
      <c r="C7" s="153" t="s">
        <v>1055</v>
      </c>
      <c r="D7" s="151" t="s">
        <v>1033</v>
      </c>
      <c r="E7" s="152">
        <v>28990</v>
      </c>
    </row>
    <row r="8" spans="1:5" ht="19.149999999999999" customHeight="1" x14ac:dyDescent="0.25">
      <c r="A8" s="253" t="s">
        <v>1054</v>
      </c>
      <c r="B8" s="159" t="s">
        <v>1091</v>
      </c>
      <c r="C8" s="151" t="s">
        <v>679</v>
      </c>
      <c r="D8" s="151" t="s">
        <v>1034</v>
      </c>
      <c r="E8" s="152">
        <v>26990</v>
      </c>
    </row>
    <row r="9" spans="1:5" ht="19.149999999999999" customHeight="1" x14ac:dyDescent="0.25">
      <c r="A9" s="253">
        <v>3834</v>
      </c>
      <c r="B9" s="159" t="s">
        <v>1092</v>
      </c>
      <c r="C9" s="151" t="s">
        <v>678</v>
      </c>
      <c r="D9" s="151" t="s">
        <v>1034</v>
      </c>
      <c r="E9" s="152">
        <v>26990</v>
      </c>
    </row>
    <row r="10" spans="1:5" ht="19.149999999999999" customHeight="1" x14ac:dyDescent="0.25">
      <c r="A10" s="254">
        <v>3837</v>
      </c>
      <c r="B10" s="159" t="s">
        <v>1093</v>
      </c>
      <c r="C10" s="151" t="s">
        <v>678</v>
      </c>
      <c r="D10" s="151" t="s">
        <v>680</v>
      </c>
      <c r="E10" s="152">
        <v>26990</v>
      </c>
    </row>
    <row r="11" spans="1:5" ht="19.149999999999999" customHeight="1" x14ac:dyDescent="0.25">
      <c r="A11" s="254">
        <v>3840</v>
      </c>
      <c r="B11" s="159" t="s">
        <v>1426</v>
      </c>
      <c r="C11" s="151" t="s">
        <v>679</v>
      </c>
      <c r="D11" s="151" t="s">
        <v>682</v>
      </c>
      <c r="E11" s="152">
        <v>25990</v>
      </c>
    </row>
    <row r="12" spans="1:5" ht="19.149999999999999" customHeight="1" x14ac:dyDescent="0.25">
      <c r="A12" s="253" t="s">
        <v>1040</v>
      </c>
      <c r="B12" s="159" t="s">
        <v>1068</v>
      </c>
      <c r="C12" s="151" t="s">
        <v>677</v>
      </c>
      <c r="D12" s="151" t="s">
        <v>1034</v>
      </c>
      <c r="E12" s="152">
        <v>26990</v>
      </c>
    </row>
    <row r="13" spans="1:5" ht="19.149999999999999" customHeight="1" x14ac:dyDescent="0.25">
      <c r="A13" s="253" t="s">
        <v>1041</v>
      </c>
      <c r="B13" s="159" t="s">
        <v>1067</v>
      </c>
      <c r="C13" s="151" t="s">
        <v>677</v>
      </c>
      <c r="D13" s="151" t="s">
        <v>1034</v>
      </c>
      <c r="E13" s="152">
        <v>26990</v>
      </c>
    </row>
    <row r="14" spans="1:5" ht="19.149999999999999" customHeight="1" x14ac:dyDescent="0.25">
      <c r="A14" s="253" t="s">
        <v>1042</v>
      </c>
      <c r="B14" s="159" t="s">
        <v>1066</v>
      </c>
      <c r="C14" s="151" t="s">
        <v>677</v>
      </c>
      <c r="D14" s="151" t="s">
        <v>1034</v>
      </c>
      <c r="E14" s="152">
        <v>26990</v>
      </c>
    </row>
    <row r="15" spans="1:5" ht="19.149999999999999" customHeight="1" x14ac:dyDescent="0.25">
      <c r="A15" s="253" t="s">
        <v>1043</v>
      </c>
      <c r="B15" s="159" t="s">
        <v>1065</v>
      </c>
      <c r="C15" s="151" t="s">
        <v>677</v>
      </c>
      <c r="D15" s="151" t="s">
        <v>1034</v>
      </c>
      <c r="E15" s="152">
        <v>26990</v>
      </c>
    </row>
    <row r="16" spans="1:5" ht="19.149999999999999" customHeight="1" x14ac:dyDescent="0.25">
      <c r="A16" s="253" t="s">
        <v>1044</v>
      </c>
      <c r="B16" s="159" t="s">
        <v>1094</v>
      </c>
      <c r="C16" s="151" t="s">
        <v>677</v>
      </c>
      <c r="D16" s="151" t="s">
        <v>1034</v>
      </c>
      <c r="E16" s="152">
        <v>26990</v>
      </c>
    </row>
    <row r="17" spans="1:5" ht="19.149999999999999" customHeight="1" x14ac:dyDescent="0.25">
      <c r="A17" s="253">
        <v>3849</v>
      </c>
      <c r="B17" s="159" t="s">
        <v>1074</v>
      </c>
      <c r="C17" s="151" t="s">
        <v>678</v>
      </c>
      <c r="D17" s="151" t="s">
        <v>620</v>
      </c>
      <c r="E17" s="152">
        <v>24990</v>
      </c>
    </row>
    <row r="18" spans="1:5" ht="19.149999999999999" customHeight="1" x14ac:dyDescent="0.25">
      <c r="A18" s="253" t="s">
        <v>1045</v>
      </c>
      <c r="B18" s="159" t="s">
        <v>1095</v>
      </c>
      <c r="C18" s="151" t="s">
        <v>678</v>
      </c>
      <c r="D18" s="151" t="s">
        <v>681</v>
      </c>
      <c r="E18" s="152">
        <v>26990</v>
      </c>
    </row>
    <row r="19" spans="1:5" ht="19.149999999999999" customHeight="1" x14ac:dyDescent="0.25">
      <c r="A19" s="253">
        <v>3851</v>
      </c>
      <c r="B19" s="159" t="s">
        <v>1075</v>
      </c>
      <c r="C19" s="151" t="s">
        <v>678</v>
      </c>
      <c r="D19" s="151" t="s">
        <v>1034</v>
      </c>
      <c r="E19" s="152">
        <v>26990</v>
      </c>
    </row>
    <row r="20" spans="1:5" ht="19.149999999999999" customHeight="1" x14ac:dyDescent="0.25">
      <c r="A20" s="253">
        <v>3857</v>
      </c>
      <c r="B20" s="159" t="s">
        <v>1096</v>
      </c>
      <c r="C20" s="151" t="s">
        <v>678</v>
      </c>
      <c r="D20" s="151" t="s">
        <v>620</v>
      </c>
      <c r="E20" s="152">
        <v>24990</v>
      </c>
    </row>
    <row r="21" spans="1:5" ht="19.149999999999999" customHeight="1" x14ac:dyDescent="0.25">
      <c r="A21" s="253">
        <v>3858</v>
      </c>
      <c r="B21" s="159" t="s">
        <v>1097</v>
      </c>
      <c r="C21" s="151" t="s">
        <v>678</v>
      </c>
      <c r="D21" s="151" t="s">
        <v>1056</v>
      </c>
      <c r="E21" s="152">
        <v>26990</v>
      </c>
    </row>
    <row r="22" spans="1:5" ht="19.149999999999999" customHeight="1" x14ac:dyDescent="0.25">
      <c r="A22" s="253">
        <v>3859</v>
      </c>
      <c r="B22" s="159" t="s">
        <v>1098</v>
      </c>
      <c r="C22" s="154" t="s">
        <v>629</v>
      </c>
      <c r="D22" s="151"/>
      <c r="E22" s="152">
        <v>25990</v>
      </c>
    </row>
    <row r="23" spans="1:5" ht="19.149999999999999" customHeight="1" x14ac:dyDescent="0.25">
      <c r="A23" s="253">
        <v>3860</v>
      </c>
      <c r="B23" s="159" t="s">
        <v>1099</v>
      </c>
      <c r="C23" s="151" t="s">
        <v>677</v>
      </c>
      <c r="D23" s="151" t="s">
        <v>676</v>
      </c>
      <c r="E23" s="152">
        <v>24990</v>
      </c>
    </row>
    <row r="24" spans="1:5" ht="19.149999999999999" customHeight="1" x14ac:dyDescent="0.25">
      <c r="A24" s="253">
        <v>3861</v>
      </c>
      <c r="B24" s="159" t="s">
        <v>1100</v>
      </c>
      <c r="C24" s="151" t="s">
        <v>678</v>
      </c>
      <c r="D24" s="151" t="s">
        <v>680</v>
      </c>
      <c r="E24" s="152">
        <v>24990</v>
      </c>
    </row>
    <row r="25" spans="1:5" ht="19.149999999999999" customHeight="1" x14ac:dyDescent="0.25">
      <c r="A25" s="253" t="s">
        <v>1046</v>
      </c>
      <c r="B25" s="159" t="s">
        <v>1101</v>
      </c>
      <c r="C25" s="151" t="s">
        <v>677</v>
      </c>
      <c r="D25" s="151" t="s">
        <v>680</v>
      </c>
      <c r="E25" s="152">
        <v>24990</v>
      </c>
    </row>
    <row r="26" spans="1:5" ht="19.149999999999999" customHeight="1" x14ac:dyDescent="0.25">
      <c r="A26" s="253" t="s">
        <v>1047</v>
      </c>
      <c r="B26" s="159" t="s">
        <v>1069</v>
      </c>
      <c r="C26" s="151" t="s">
        <v>677</v>
      </c>
      <c r="D26" s="151" t="s">
        <v>680</v>
      </c>
      <c r="E26" s="152">
        <v>24990</v>
      </c>
    </row>
    <row r="27" spans="1:5" ht="19.149999999999999" customHeight="1" x14ac:dyDescent="0.25">
      <c r="A27" s="253">
        <v>3865</v>
      </c>
      <c r="B27" s="159" t="s">
        <v>1102</v>
      </c>
      <c r="C27" s="151" t="s">
        <v>678</v>
      </c>
      <c r="D27" s="151" t="s">
        <v>682</v>
      </c>
      <c r="E27" s="152">
        <v>25990</v>
      </c>
    </row>
    <row r="28" spans="1:5" ht="19.149999999999999" customHeight="1" x14ac:dyDescent="0.25">
      <c r="A28" s="253">
        <v>3869</v>
      </c>
      <c r="B28" s="159" t="s">
        <v>1059</v>
      </c>
      <c r="C28" s="151" t="s">
        <v>678</v>
      </c>
      <c r="D28" s="151" t="s">
        <v>682</v>
      </c>
      <c r="E28" s="152">
        <v>25990</v>
      </c>
    </row>
    <row r="29" spans="1:5" ht="19.149999999999999" customHeight="1" x14ac:dyDescent="0.25">
      <c r="A29" s="253">
        <v>3870</v>
      </c>
      <c r="B29" s="159" t="s">
        <v>1088</v>
      </c>
      <c r="C29" s="154" t="s">
        <v>629</v>
      </c>
      <c r="D29" s="151"/>
      <c r="E29" s="152">
        <v>26990</v>
      </c>
    </row>
    <row r="30" spans="1:5" ht="19.149999999999999" customHeight="1" x14ac:dyDescent="0.25">
      <c r="A30" s="253" t="s">
        <v>1048</v>
      </c>
      <c r="B30" s="159" t="s">
        <v>1070</v>
      </c>
      <c r="C30" s="151" t="s">
        <v>678</v>
      </c>
      <c r="D30" s="151" t="s">
        <v>620</v>
      </c>
      <c r="E30" s="152">
        <v>24990</v>
      </c>
    </row>
    <row r="31" spans="1:5" ht="19.149999999999999" customHeight="1" x14ac:dyDescent="0.25">
      <c r="A31" s="253" t="s">
        <v>1049</v>
      </c>
      <c r="B31" s="159" t="s">
        <v>1417</v>
      </c>
      <c r="C31" s="151" t="s">
        <v>678</v>
      </c>
      <c r="D31" s="151" t="s">
        <v>620</v>
      </c>
      <c r="E31" s="152">
        <v>24990</v>
      </c>
    </row>
    <row r="32" spans="1:5" ht="19.149999999999999" customHeight="1" x14ac:dyDescent="0.25">
      <c r="A32" s="253">
        <v>3877</v>
      </c>
      <c r="B32" s="159" t="s">
        <v>1089</v>
      </c>
      <c r="C32" s="151" t="s">
        <v>678</v>
      </c>
      <c r="D32" s="151" t="s">
        <v>620</v>
      </c>
      <c r="E32" s="152">
        <v>24990</v>
      </c>
    </row>
    <row r="33" spans="1:5" ht="19.149999999999999" customHeight="1" x14ac:dyDescent="0.25">
      <c r="A33" s="253">
        <v>3878</v>
      </c>
      <c r="B33" s="159" t="s">
        <v>1103</v>
      </c>
      <c r="C33" s="151" t="s">
        <v>678</v>
      </c>
      <c r="D33" s="151" t="s">
        <v>1034</v>
      </c>
      <c r="E33" s="152">
        <v>26990</v>
      </c>
    </row>
    <row r="34" spans="1:5" ht="19.149999999999999" customHeight="1" x14ac:dyDescent="0.25">
      <c r="A34" s="253">
        <v>3879</v>
      </c>
      <c r="B34" s="159" t="s">
        <v>1104</v>
      </c>
      <c r="C34" s="151" t="s">
        <v>677</v>
      </c>
      <c r="D34" s="151" t="s">
        <v>676</v>
      </c>
      <c r="E34" s="152">
        <v>24990</v>
      </c>
    </row>
    <row r="35" spans="1:5" ht="19.149999999999999" customHeight="1" x14ac:dyDescent="0.25">
      <c r="A35" s="253">
        <v>3880</v>
      </c>
      <c r="B35" s="159" t="s">
        <v>1418</v>
      </c>
      <c r="C35" s="151" t="s">
        <v>678</v>
      </c>
      <c r="D35" s="151" t="s">
        <v>676</v>
      </c>
      <c r="E35" s="152">
        <v>24990</v>
      </c>
    </row>
    <row r="36" spans="1:5" ht="19.149999999999999" customHeight="1" x14ac:dyDescent="0.25">
      <c r="A36" s="255" t="s">
        <v>1425</v>
      </c>
      <c r="B36" s="159" t="s">
        <v>1419</v>
      </c>
      <c r="C36" s="152" t="s">
        <v>679</v>
      </c>
      <c r="D36" s="151" t="s">
        <v>680</v>
      </c>
      <c r="E36" s="152">
        <v>24990</v>
      </c>
    </row>
    <row r="37" spans="1:5" ht="19.149999999999999" customHeight="1" x14ac:dyDescent="0.25">
      <c r="A37" s="255" t="s">
        <v>1423</v>
      </c>
      <c r="B37" s="159" t="s">
        <v>1424</v>
      </c>
      <c r="C37" s="152" t="s">
        <v>679</v>
      </c>
      <c r="D37" s="151" t="s">
        <v>680</v>
      </c>
      <c r="E37" s="152">
        <v>24990</v>
      </c>
    </row>
    <row r="38" spans="1:5" ht="19.149999999999999" customHeight="1" x14ac:dyDescent="0.25">
      <c r="A38" s="254">
        <v>3883</v>
      </c>
      <c r="B38" s="159" t="s">
        <v>1076</v>
      </c>
      <c r="C38" s="152" t="s">
        <v>678</v>
      </c>
      <c r="D38" s="151" t="s">
        <v>680</v>
      </c>
      <c r="E38" s="152">
        <v>24990</v>
      </c>
    </row>
    <row r="39" spans="1:5" ht="19.149999999999999" customHeight="1" x14ac:dyDescent="0.25">
      <c r="A39" s="256">
        <v>3886</v>
      </c>
      <c r="B39" s="159" t="s">
        <v>1105</v>
      </c>
      <c r="C39" s="152" t="s">
        <v>679</v>
      </c>
      <c r="D39" s="152" t="s">
        <v>1034</v>
      </c>
      <c r="E39" s="152">
        <v>26990</v>
      </c>
    </row>
    <row r="40" spans="1:5" ht="19.149999999999999" customHeight="1" x14ac:dyDescent="0.25">
      <c r="A40" s="254">
        <v>3888</v>
      </c>
      <c r="B40" s="159" t="s">
        <v>1106</v>
      </c>
      <c r="C40" s="152" t="s">
        <v>679</v>
      </c>
      <c r="D40" s="151" t="s">
        <v>680</v>
      </c>
      <c r="E40" s="152">
        <v>26990</v>
      </c>
    </row>
    <row r="41" spans="1:5" ht="19.149999999999999" customHeight="1" x14ac:dyDescent="0.25">
      <c r="A41" s="254">
        <v>3889</v>
      </c>
      <c r="B41" s="159" t="s">
        <v>1077</v>
      </c>
      <c r="C41" s="152" t="s">
        <v>679</v>
      </c>
      <c r="D41" s="151" t="s">
        <v>681</v>
      </c>
      <c r="E41" s="152">
        <v>25990</v>
      </c>
    </row>
    <row r="42" spans="1:5" ht="19.149999999999999" customHeight="1" x14ac:dyDescent="0.25">
      <c r="A42" s="254">
        <v>3891</v>
      </c>
      <c r="B42" s="159" t="s">
        <v>1078</v>
      </c>
      <c r="C42" s="152" t="s">
        <v>679</v>
      </c>
      <c r="D42" s="152" t="s">
        <v>682</v>
      </c>
      <c r="E42" s="152">
        <v>26990</v>
      </c>
    </row>
    <row r="43" spans="1:5" ht="19.149999999999999" customHeight="1" x14ac:dyDescent="0.25">
      <c r="A43" s="254" t="s">
        <v>1050</v>
      </c>
      <c r="B43" s="159" t="s">
        <v>1071</v>
      </c>
      <c r="C43" s="152" t="s">
        <v>679</v>
      </c>
      <c r="D43" s="151" t="s">
        <v>680</v>
      </c>
      <c r="E43" s="152">
        <v>26990</v>
      </c>
    </row>
    <row r="44" spans="1:5" ht="19.149999999999999" customHeight="1" x14ac:dyDescent="0.25">
      <c r="A44" s="254" t="s">
        <v>1051</v>
      </c>
      <c r="B44" s="159" t="s">
        <v>1107</v>
      </c>
      <c r="C44" s="152" t="s">
        <v>679</v>
      </c>
      <c r="D44" s="151" t="s">
        <v>680</v>
      </c>
      <c r="E44" s="152">
        <v>26990</v>
      </c>
    </row>
    <row r="45" spans="1:5" ht="19.149999999999999" customHeight="1" x14ac:dyDescent="0.25">
      <c r="A45" s="254">
        <v>3893</v>
      </c>
      <c r="B45" s="159" t="s">
        <v>1079</v>
      </c>
      <c r="C45" s="152" t="s">
        <v>678</v>
      </c>
      <c r="D45" s="151" t="s">
        <v>1034</v>
      </c>
      <c r="E45" s="152">
        <v>26990</v>
      </c>
    </row>
    <row r="46" spans="1:5" ht="19.149999999999999" customHeight="1" x14ac:dyDescent="0.25">
      <c r="A46" s="254">
        <v>3896</v>
      </c>
      <c r="B46" s="159" t="s">
        <v>1108</v>
      </c>
      <c r="C46" s="154" t="s">
        <v>629</v>
      </c>
      <c r="D46" s="152" t="s">
        <v>1061</v>
      </c>
      <c r="E46" s="152">
        <v>27990</v>
      </c>
    </row>
    <row r="47" spans="1:5" ht="19.149999999999999" customHeight="1" x14ac:dyDescent="0.25">
      <c r="A47" s="254">
        <v>3897</v>
      </c>
      <c r="B47" s="159" t="s">
        <v>1062</v>
      </c>
      <c r="C47" s="152" t="s">
        <v>679</v>
      </c>
      <c r="D47" s="152" t="s">
        <v>682</v>
      </c>
      <c r="E47" s="152">
        <v>25990</v>
      </c>
    </row>
    <row r="48" spans="1:5" ht="19.149999999999999" customHeight="1" x14ac:dyDescent="0.25">
      <c r="A48" s="254">
        <v>3898</v>
      </c>
      <c r="B48" s="159" t="s">
        <v>1063</v>
      </c>
      <c r="C48" s="151" t="s">
        <v>678</v>
      </c>
      <c r="D48" s="151" t="s">
        <v>620</v>
      </c>
      <c r="E48" s="152">
        <v>24990</v>
      </c>
    </row>
    <row r="49" spans="1:5" ht="19.149999999999999" customHeight="1" x14ac:dyDescent="0.25">
      <c r="A49" s="254" t="s">
        <v>1052</v>
      </c>
      <c r="B49" s="159" t="s">
        <v>1109</v>
      </c>
      <c r="C49" s="151" t="s">
        <v>678</v>
      </c>
      <c r="D49" s="151" t="s">
        <v>620</v>
      </c>
      <c r="E49" s="152">
        <v>24990</v>
      </c>
    </row>
    <row r="50" spans="1:5" ht="19.149999999999999" customHeight="1" x14ac:dyDescent="0.25">
      <c r="A50" s="254" t="s">
        <v>1053</v>
      </c>
      <c r="B50" s="159" t="s">
        <v>1427</v>
      </c>
      <c r="C50" s="151" t="s">
        <v>678</v>
      </c>
      <c r="D50" s="151" t="s">
        <v>620</v>
      </c>
      <c r="E50" s="152">
        <v>24990</v>
      </c>
    </row>
    <row r="51" spans="1:5" ht="19.149999999999999" customHeight="1" x14ac:dyDescent="0.25">
      <c r="A51" s="254">
        <v>3150</v>
      </c>
      <c r="B51" s="159" t="s">
        <v>1057</v>
      </c>
      <c r="C51" s="151" t="s">
        <v>678</v>
      </c>
      <c r="D51" s="152" t="s">
        <v>620</v>
      </c>
      <c r="E51" s="152">
        <v>24990</v>
      </c>
    </row>
    <row r="52" spans="1:5" ht="19.149999999999999" customHeight="1" x14ac:dyDescent="0.25">
      <c r="A52" s="257" t="s">
        <v>1084</v>
      </c>
      <c r="B52" s="160" t="s">
        <v>1073</v>
      </c>
      <c r="C52" s="155" t="s">
        <v>678</v>
      </c>
      <c r="D52" s="155" t="s">
        <v>682</v>
      </c>
      <c r="E52" s="156">
        <v>25990</v>
      </c>
    </row>
    <row r="53" spans="1:5" ht="19.149999999999999" customHeight="1" x14ac:dyDescent="0.25">
      <c r="A53" s="257" t="s">
        <v>1085</v>
      </c>
      <c r="B53" s="160" t="s">
        <v>1060</v>
      </c>
      <c r="C53" s="155" t="s">
        <v>678</v>
      </c>
      <c r="D53" s="155" t="s">
        <v>682</v>
      </c>
      <c r="E53" s="156">
        <v>25990</v>
      </c>
    </row>
    <row r="54" spans="1:5" ht="19.149999999999999" customHeight="1" x14ac:dyDescent="0.25">
      <c r="A54" s="258" t="s">
        <v>1086</v>
      </c>
      <c r="B54" s="160" t="s">
        <v>1080</v>
      </c>
      <c r="C54" s="155" t="s">
        <v>678</v>
      </c>
      <c r="D54" s="155" t="s">
        <v>680</v>
      </c>
      <c r="E54" s="156">
        <v>24990</v>
      </c>
    </row>
    <row r="55" spans="1:5" ht="19.149999999999999" customHeight="1" x14ac:dyDescent="0.25">
      <c r="A55" s="258" t="s">
        <v>1087</v>
      </c>
      <c r="B55" s="160" t="s">
        <v>1064</v>
      </c>
      <c r="C55" s="156" t="s">
        <v>1055</v>
      </c>
      <c r="D55" s="156"/>
      <c r="E55" s="156">
        <v>28990</v>
      </c>
    </row>
    <row r="56" spans="1:5" ht="17.45" customHeight="1" x14ac:dyDescent="0.25">
      <c r="A56" s="254">
        <v>3633</v>
      </c>
      <c r="B56" s="159" t="s">
        <v>1483</v>
      </c>
      <c r="C56" s="151" t="s">
        <v>678</v>
      </c>
      <c r="D56" s="151" t="s">
        <v>620</v>
      </c>
      <c r="E56" s="152">
        <v>24990</v>
      </c>
    </row>
    <row r="57" spans="1:5" ht="17.45" customHeight="1" x14ac:dyDescent="0.25">
      <c r="A57" s="254">
        <v>3802</v>
      </c>
      <c r="B57" s="159" t="s">
        <v>1450</v>
      </c>
      <c r="C57" s="151" t="s">
        <v>678</v>
      </c>
      <c r="D57" s="151" t="s">
        <v>681</v>
      </c>
      <c r="E57" s="152">
        <v>25990</v>
      </c>
    </row>
    <row r="58" spans="1:5" ht="17.45" customHeight="1" x14ac:dyDescent="0.25">
      <c r="A58" s="254">
        <v>3862</v>
      </c>
      <c r="B58" s="159" t="s">
        <v>1074</v>
      </c>
      <c r="C58" s="151" t="s">
        <v>677</v>
      </c>
      <c r="D58" s="151" t="s">
        <v>680</v>
      </c>
      <c r="E58" s="152">
        <v>24990</v>
      </c>
    </row>
    <row r="59" spans="1:5" ht="17.45" customHeight="1" x14ac:dyDescent="0.25">
      <c r="A59" s="254" t="s">
        <v>1428</v>
      </c>
      <c r="B59" s="159" t="s">
        <v>1484</v>
      </c>
      <c r="C59" s="151" t="s">
        <v>679</v>
      </c>
      <c r="D59" s="151" t="s">
        <v>682</v>
      </c>
      <c r="E59" s="152">
        <v>25990</v>
      </c>
    </row>
    <row r="60" spans="1:5" ht="17.45" customHeight="1" x14ac:dyDescent="0.25">
      <c r="A60" s="254" t="s">
        <v>1429</v>
      </c>
      <c r="B60" s="159" t="s">
        <v>1485</v>
      </c>
      <c r="C60" s="151" t="s">
        <v>679</v>
      </c>
      <c r="D60" s="151" t="s">
        <v>682</v>
      </c>
      <c r="E60" s="152">
        <v>25990</v>
      </c>
    </row>
    <row r="61" spans="1:5" ht="17.45" customHeight="1" x14ac:dyDescent="0.25">
      <c r="A61" s="254" t="s">
        <v>1430</v>
      </c>
      <c r="B61" s="159" t="s">
        <v>1451</v>
      </c>
      <c r="C61" s="151" t="s">
        <v>678</v>
      </c>
      <c r="D61" s="151" t="s">
        <v>676</v>
      </c>
      <c r="E61" s="152">
        <v>24990</v>
      </c>
    </row>
    <row r="62" spans="1:5" ht="17.45" customHeight="1" x14ac:dyDescent="0.25">
      <c r="A62" s="254" t="s">
        <v>1431</v>
      </c>
      <c r="B62" s="159" t="s">
        <v>1452</v>
      </c>
      <c r="C62" s="151" t="s">
        <v>678</v>
      </c>
      <c r="D62" s="151" t="s">
        <v>676</v>
      </c>
      <c r="E62" s="152">
        <v>24990</v>
      </c>
    </row>
    <row r="63" spans="1:5" ht="17.45" customHeight="1" x14ac:dyDescent="0.25">
      <c r="A63" s="254">
        <v>3880</v>
      </c>
      <c r="B63" s="159" t="s">
        <v>1074</v>
      </c>
      <c r="C63" s="151" t="s">
        <v>678</v>
      </c>
      <c r="D63" s="151" t="s">
        <v>676</v>
      </c>
      <c r="E63" s="152">
        <v>24990</v>
      </c>
    </row>
    <row r="64" spans="1:5" ht="17.45" customHeight="1" x14ac:dyDescent="0.25">
      <c r="A64" s="254">
        <v>3882</v>
      </c>
      <c r="B64" s="159" t="s">
        <v>1453</v>
      </c>
      <c r="C64" s="151" t="s">
        <v>678</v>
      </c>
      <c r="D64" s="151" t="s">
        <v>680</v>
      </c>
      <c r="E64" s="152">
        <v>24990</v>
      </c>
    </row>
    <row r="65" spans="1:5" ht="17.45" customHeight="1" x14ac:dyDescent="0.25">
      <c r="A65" s="254">
        <v>3894</v>
      </c>
      <c r="B65" s="159" t="s">
        <v>1074</v>
      </c>
      <c r="C65" s="151" t="s">
        <v>678</v>
      </c>
      <c r="D65" s="151" t="s">
        <v>620</v>
      </c>
      <c r="E65" s="152">
        <v>24990</v>
      </c>
    </row>
    <row r="66" spans="1:5" ht="17.45" customHeight="1" x14ac:dyDescent="0.25">
      <c r="A66" s="254">
        <v>3902</v>
      </c>
      <c r="B66" s="159" t="s">
        <v>1454</v>
      </c>
      <c r="C66" s="151" t="s">
        <v>678</v>
      </c>
      <c r="D66" s="151" t="s">
        <v>680</v>
      </c>
      <c r="E66" s="152">
        <v>24990</v>
      </c>
    </row>
    <row r="67" spans="1:5" ht="17.45" customHeight="1" x14ac:dyDescent="0.25">
      <c r="A67" s="254">
        <v>3904</v>
      </c>
      <c r="B67" s="159" t="s">
        <v>1455</v>
      </c>
      <c r="C67" s="151" t="s">
        <v>1482</v>
      </c>
      <c r="D67" s="151" t="s">
        <v>1034</v>
      </c>
      <c r="E67" s="152">
        <v>24990</v>
      </c>
    </row>
    <row r="68" spans="1:5" ht="17.45" customHeight="1" x14ac:dyDescent="0.25">
      <c r="A68" s="254">
        <v>3905</v>
      </c>
      <c r="B68" s="159" t="s">
        <v>1456</v>
      </c>
      <c r="C68" s="151" t="s">
        <v>678</v>
      </c>
      <c r="D68" s="151" t="s">
        <v>682</v>
      </c>
      <c r="E68" s="152">
        <v>25990</v>
      </c>
    </row>
    <row r="69" spans="1:5" ht="17.45" customHeight="1" x14ac:dyDescent="0.25">
      <c r="A69" s="254">
        <v>3906</v>
      </c>
      <c r="B69" s="159" t="s">
        <v>1457</v>
      </c>
      <c r="C69" s="151" t="s">
        <v>677</v>
      </c>
      <c r="D69" s="151" t="s">
        <v>681</v>
      </c>
      <c r="E69" s="152">
        <v>25990</v>
      </c>
    </row>
    <row r="70" spans="1:5" ht="17.45" customHeight="1" x14ac:dyDescent="0.25">
      <c r="A70" s="254">
        <v>3915</v>
      </c>
      <c r="B70" s="159" t="s">
        <v>1458</v>
      </c>
      <c r="C70" s="151" t="s">
        <v>678</v>
      </c>
      <c r="D70" s="151" t="s">
        <v>620</v>
      </c>
      <c r="E70" s="152">
        <v>24990</v>
      </c>
    </row>
    <row r="71" spans="1:5" ht="17.45" customHeight="1" x14ac:dyDescent="0.25">
      <c r="A71" s="254" t="s">
        <v>1432</v>
      </c>
      <c r="B71" s="159" t="s">
        <v>1459</v>
      </c>
      <c r="C71" s="151" t="s">
        <v>678</v>
      </c>
      <c r="D71" s="151" t="s">
        <v>676</v>
      </c>
      <c r="E71" s="152">
        <v>25990</v>
      </c>
    </row>
    <row r="72" spans="1:5" ht="17.45" customHeight="1" x14ac:dyDescent="0.25">
      <c r="A72" s="254" t="s">
        <v>1433</v>
      </c>
      <c r="B72" s="159" t="s">
        <v>1486</v>
      </c>
      <c r="C72" s="151" t="s">
        <v>678</v>
      </c>
      <c r="D72" s="151" t="s">
        <v>676</v>
      </c>
      <c r="E72" s="152">
        <v>25990</v>
      </c>
    </row>
    <row r="73" spans="1:5" ht="17.45" customHeight="1" x14ac:dyDescent="0.25">
      <c r="A73" s="254">
        <v>3921</v>
      </c>
      <c r="B73" s="159" t="s">
        <v>1460</v>
      </c>
      <c r="C73" s="151" t="s">
        <v>678</v>
      </c>
      <c r="D73" s="151" t="s">
        <v>620</v>
      </c>
      <c r="E73" s="152">
        <v>24990</v>
      </c>
    </row>
    <row r="74" spans="1:5" ht="17.45" customHeight="1" x14ac:dyDescent="0.25">
      <c r="A74" s="254">
        <v>3922</v>
      </c>
      <c r="B74" s="159" t="s">
        <v>1461</v>
      </c>
      <c r="C74" s="151" t="s">
        <v>678</v>
      </c>
      <c r="D74" s="151" t="s">
        <v>682</v>
      </c>
      <c r="E74" s="152">
        <v>25990</v>
      </c>
    </row>
    <row r="75" spans="1:5" ht="17.45" customHeight="1" x14ac:dyDescent="0.25">
      <c r="A75" s="254">
        <v>3932</v>
      </c>
      <c r="B75" s="159" t="s">
        <v>1462</v>
      </c>
      <c r="C75" s="151" t="s">
        <v>677</v>
      </c>
      <c r="D75" s="151" t="s">
        <v>620</v>
      </c>
      <c r="E75" s="152">
        <v>24990</v>
      </c>
    </row>
    <row r="76" spans="1:5" ht="17.45" customHeight="1" x14ac:dyDescent="0.25">
      <c r="A76" s="254">
        <v>3937</v>
      </c>
      <c r="B76" s="159" t="s">
        <v>1463</v>
      </c>
      <c r="C76" s="151" t="s">
        <v>678</v>
      </c>
      <c r="D76" s="151" t="s">
        <v>681</v>
      </c>
      <c r="E76" s="152">
        <v>26990</v>
      </c>
    </row>
    <row r="77" spans="1:5" ht="17.45" customHeight="1" x14ac:dyDescent="0.25">
      <c r="A77" s="254">
        <v>3940</v>
      </c>
      <c r="B77" s="159" t="s">
        <v>1464</v>
      </c>
      <c r="C77" s="151" t="s">
        <v>678</v>
      </c>
      <c r="D77" s="151" t="s">
        <v>680</v>
      </c>
      <c r="E77" s="152">
        <v>24990</v>
      </c>
    </row>
    <row r="78" spans="1:5" ht="17.45" customHeight="1" x14ac:dyDescent="0.25">
      <c r="A78" s="254">
        <v>3941</v>
      </c>
      <c r="B78" s="159" t="s">
        <v>1465</v>
      </c>
      <c r="C78" s="151" t="s">
        <v>678</v>
      </c>
      <c r="D78" s="151" t="s">
        <v>620</v>
      </c>
      <c r="E78" s="152">
        <v>24990</v>
      </c>
    </row>
    <row r="79" spans="1:5" ht="17.45" customHeight="1" x14ac:dyDescent="0.25">
      <c r="A79" s="254">
        <v>3944</v>
      </c>
      <c r="B79" s="159" t="s">
        <v>1466</v>
      </c>
      <c r="C79" s="151" t="s">
        <v>678</v>
      </c>
      <c r="D79" s="151" t="s">
        <v>1034</v>
      </c>
      <c r="E79" s="152">
        <v>26990</v>
      </c>
    </row>
    <row r="80" spans="1:5" ht="17.45" customHeight="1" x14ac:dyDescent="0.25">
      <c r="A80" s="254">
        <v>3947</v>
      </c>
      <c r="B80" s="159" t="s">
        <v>1467</v>
      </c>
      <c r="C80" s="151" t="s">
        <v>678</v>
      </c>
      <c r="D80" s="151" t="s">
        <v>682</v>
      </c>
      <c r="E80" s="152">
        <v>25990</v>
      </c>
    </row>
    <row r="81" spans="1:5" ht="17.45" customHeight="1" x14ac:dyDescent="0.25">
      <c r="A81" s="254" t="s">
        <v>1434</v>
      </c>
      <c r="B81" s="159" t="s">
        <v>1468</v>
      </c>
      <c r="C81" s="151" t="s">
        <v>678</v>
      </c>
      <c r="D81" s="151" t="s">
        <v>682</v>
      </c>
      <c r="E81" s="152">
        <v>25990</v>
      </c>
    </row>
    <row r="82" spans="1:5" ht="17.45" customHeight="1" x14ac:dyDescent="0.25">
      <c r="A82" s="254" t="s">
        <v>1435</v>
      </c>
      <c r="B82" s="159" t="s">
        <v>1468</v>
      </c>
      <c r="C82" s="151" t="s">
        <v>678</v>
      </c>
      <c r="D82" s="151" t="s">
        <v>682</v>
      </c>
      <c r="E82" s="152">
        <v>25990</v>
      </c>
    </row>
    <row r="83" spans="1:5" ht="17.45" customHeight="1" x14ac:dyDescent="0.25">
      <c r="A83" s="254" t="s">
        <v>1436</v>
      </c>
      <c r="B83" s="159" t="s">
        <v>1468</v>
      </c>
      <c r="C83" s="151" t="s">
        <v>678</v>
      </c>
      <c r="D83" s="151" t="s">
        <v>682</v>
      </c>
      <c r="E83" s="152">
        <v>25990</v>
      </c>
    </row>
    <row r="84" spans="1:5" ht="17.45" customHeight="1" x14ac:dyDescent="0.25">
      <c r="A84" s="254" t="s">
        <v>1437</v>
      </c>
      <c r="B84" s="159" t="s">
        <v>1468</v>
      </c>
      <c r="C84" s="151" t="s">
        <v>678</v>
      </c>
      <c r="D84" s="151" t="s">
        <v>1034</v>
      </c>
      <c r="E84" s="152">
        <v>25990</v>
      </c>
    </row>
    <row r="85" spans="1:5" ht="17.45" customHeight="1" x14ac:dyDescent="0.25">
      <c r="A85" s="254" t="s">
        <v>1438</v>
      </c>
      <c r="B85" s="159" t="s">
        <v>1468</v>
      </c>
      <c r="C85" s="151" t="s">
        <v>678</v>
      </c>
      <c r="D85" s="151" t="s">
        <v>1034</v>
      </c>
      <c r="E85" s="152">
        <v>25990</v>
      </c>
    </row>
    <row r="86" spans="1:5" ht="17.45" customHeight="1" x14ac:dyDescent="0.25">
      <c r="A86" s="254" t="s">
        <v>1439</v>
      </c>
      <c r="B86" s="159" t="s">
        <v>1468</v>
      </c>
      <c r="C86" s="151" t="s">
        <v>678</v>
      </c>
      <c r="D86" s="151" t="s">
        <v>1034</v>
      </c>
      <c r="E86" s="152">
        <v>25990</v>
      </c>
    </row>
    <row r="87" spans="1:5" ht="17.45" customHeight="1" x14ac:dyDescent="0.25">
      <c r="A87" s="254">
        <v>3955</v>
      </c>
      <c r="B87" s="159" t="s">
        <v>1469</v>
      </c>
      <c r="C87" s="151" t="s">
        <v>678</v>
      </c>
      <c r="D87" s="151" t="s">
        <v>1034</v>
      </c>
      <c r="E87" s="152">
        <v>26990</v>
      </c>
    </row>
    <row r="88" spans="1:5" ht="17.45" customHeight="1" x14ac:dyDescent="0.25">
      <c r="A88" s="254">
        <v>3957</v>
      </c>
      <c r="B88" s="159" t="s">
        <v>1465</v>
      </c>
      <c r="C88" s="151" t="s">
        <v>678</v>
      </c>
      <c r="D88" s="151" t="s">
        <v>620</v>
      </c>
      <c r="E88" s="152">
        <v>25990</v>
      </c>
    </row>
    <row r="89" spans="1:5" ht="17.45" customHeight="1" x14ac:dyDescent="0.25">
      <c r="A89" s="254" t="s">
        <v>1440</v>
      </c>
      <c r="B89" s="159" t="s">
        <v>1470</v>
      </c>
      <c r="C89" s="151" t="s">
        <v>678</v>
      </c>
      <c r="D89" s="151" t="s">
        <v>1034</v>
      </c>
      <c r="E89" s="152">
        <v>28990</v>
      </c>
    </row>
    <row r="90" spans="1:5" ht="17.45" customHeight="1" x14ac:dyDescent="0.25">
      <c r="A90" s="254" t="s">
        <v>1441</v>
      </c>
      <c r="B90" s="159" t="s">
        <v>1471</v>
      </c>
      <c r="C90" s="151" t="s">
        <v>678</v>
      </c>
      <c r="D90" s="151" t="s">
        <v>1034</v>
      </c>
      <c r="E90" s="152">
        <v>28990</v>
      </c>
    </row>
    <row r="91" spans="1:5" ht="17.45" customHeight="1" x14ac:dyDescent="0.25">
      <c r="A91" s="254" t="s">
        <v>1442</v>
      </c>
      <c r="B91" s="159" t="s">
        <v>1468</v>
      </c>
      <c r="C91" s="151" t="s">
        <v>678</v>
      </c>
      <c r="D91" s="151" t="s">
        <v>1034</v>
      </c>
      <c r="E91" s="152">
        <v>24990</v>
      </c>
    </row>
    <row r="92" spans="1:5" ht="17.45" customHeight="1" x14ac:dyDescent="0.25">
      <c r="A92" s="254" t="s">
        <v>1443</v>
      </c>
      <c r="B92" s="159" t="s">
        <v>1468</v>
      </c>
      <c r="C92" s="151" t="s">
        <v>678</v>
      </c>
      <c r="D92" s="151" t="s">
        <v>1034</v>
      </c>
      <c r="E92" s="152">
        <v>24990</v>
      </c>
    </row>
    <row r="93" spans="1:5" ht="17.45" customHeight="1" x14ac:dyDescent="0.25">
      <c r="A93" s="254">
        <v>3961</v>
      </c>
      <c r="B93" s="159" t="s">
        <v>1472</v>
      </c>
      <c r="C93" s="151" t="s">
        <v>678</v>
      </c>
      <c r="D93" s="151" t="s">
        <v>620</v>
      </c>
      <c r="E93" s="152">
        <v>23990</v>
      </c>
    </row>
    <row r="94" spans="1:5" ht="17.45" customHeight="1" x14ac:dyDescent="0.25">
      <c r="A94" s="254">
        <v>3962</v>
      </c>
      <c r="B94" s="159" t="s">
        <v>1473</v>
      </c>
      <c r="C94" s="151" t="s">
        <v>678</v>
      </c>
      <c r="D94" s="151" t="s">
        <v>680</v>
      </c>
      <c r="E94" s="152">
        <v>23990</v>
      </c>
    </row>
    <row r="95" spans="1:5" ht="17.45" customHeight="1" x14ac:dyDescent="0.25">
      <c r="A95" s="254" t="s">
        <v>1444</v>
      </c>
      <c r="B95" s="159" t="s">
        <v>1474</v>
      </c>
      <c r="C95" s="151" t="s">
        <v>677</v>
      </c>
      <c r="D95" s="151" t="s">
        <v>1034</v>
      </c>
      <c r="E95" s="152">
        <v>28990</v>
      </c>
    </row>
    <row r="96" spans="1:5" ht="17.45" customHeight="1" x14ac:dyDescent="0.25">
      <c r="A96" s="254">
        <v>3967</v>
      </c>
      <c r="B96" s="159" t="s">
        <v>1475</v>
      </c>
      <c r="C96" s="151" t="s">
        <v>678</v>
      </c>
      <c r="D96" s="151" t="s">
        <v>1034</v>
      </c>
      <c r="E96" s="152">
        <v>25990</v>
      </c>
    </row>
    <row r="97" spans="1:11" ht="17.45" customHeight="1" x14ac:dyDescent="0.25">
      <c r="A97" s="254">
        <v>3968</v>
      </c>
      <c r="B97" s="159" t="s">
        <v>1476</v>
      </c>
      <c r="C97" s="151" t="s">
        <v>678</v>
      </c>
      <c r="D97" s="151" t="s">
        <v>620</v>
      </c>
      <c r="E97" s="152">
        <v>24990</v>
      </c>
    </row>
    <row r="98" spans="1:11" ht="17.45" customHeight="1" x14ac:dyDescent="0.25">
      <c r="A98" s="254" t="s">
        <v>1445</v>
      </c>
      <c r="B98" s="159" t="s">
        <v>1477</v>
      </c>
      <c r="C98" s="151" t="s">
        <v>678</v>
      </c>
      <c r="D98" s="151" t="s">
        <v>682</v>
      </c>
      <c r="E98" s="152">
        <v>28990</v>
      </c>
    </row>
    <row r="99" spans="1:11" ht="17.45" customHeight="1" x14ac:dyDescent="0.25">
      <c r="A99" s="254" t="s">
        <v>1446</v>
      </c>
      <c r="B99" s="159" t="s">
        <v>1478</v>
      </c>
      <c r="C99" s="151" t="s">
        <v>678</v>
      </c>
      <c r="D99" s="151" t="s">
        <v>682</v>
      </c>
      <c r="E99" s="152">
        <v>28990</v>
      </c>
    </row>
    <row r="100" spans="1:11" ht="17.45" customHeight="1" x14ac:dyDescent="0.25">
      <c r="A100" s="254" t="s">
        <v>1447</v>
      </c>
      <c r="B100" s="159" t="s">
        <v>1479</v>
      </c>
      <c r="C100" s="151" t="s">
        <v>677</v>
      </c>
      <c r="D100" s="151" t="s">
        <v>1034</v>
      </c>
      <c r="E100" s="152">
        <v>28990</v>
      </c>
    </row>
    <row r="101" spans="1:11" ht="17.45" customHeight="1" x14ac:dyDescent="0.25">
      <c r="A101" s="254" t="s">
        <v>1448</v>
      </c>
      <c r="B101" s="159" t="s">
        <v>1468</v>
      </c>
      <c r="C101" s="151" t="s">
        <v>678</v>
      </c>
      <c r="D101" s="151" t="s">
        <v>1034</v>
      </c>
      <c r="E101" s="152">
        <v>25990</v>
      </c>
    </row>
    <row r="102" spans="1:11" ht="17.45" customHeight="1" x14ac:dyDescent="0.25">
      <c r="A102" s="254" t="s">
        <v>1449</v>
      </c>
      <c r="B102" s="159" t="s">
        <v>1468</v>
      </c>
      <c r="C102" s="151" t="s">
        <v>678</v>
      </c>
      <c r="D102" s="151" t="s">
        <v>1034</v>
      </c>
      <c r="E102" s="152">
        <v>25990</v>
      </c>
    </row>
    <row r="103" spans="1:11" ht="17.45" customHeight="1" x14ac:dyDescent="0.25">
      <c r="A103" s="254">
        <v>3972</v>
      </c>
      <c r="B103" s="159" t="s">
        <v>1480</v>
      </c>
      <c r="C103" s="151" t="s">
        <v>678</v>
      </c>
      <c r="D103" s="151" t="s">
        <v>682</v>
      </c>
      <c r="E103" s="152">
        <v>28990</v>
      </c>
    </row>
    <row r="104" spans="1:11" ht="17.45" customHeight="1" x14ac:dyDescent="0.25">
      <c r="A104" s="254">
        <v>3984</v>
      </c>
      <c r="B104" s="159" t="s">
        <v>1487</v>
      </c>
      <c r="C104" s="151" t="s">
        <v>679</v>
      </c>
      <c r="D104" s="151" t="s">
        <v>682</v>
      </c>
      <c r="E104" s="152">
        <v>28990</v>
      </c>
    </row>
    <row r="105" spans="1:11" ht="17.45" customHeight="1" x14ac:dyDescent="0.25">
      <c r="A105" s="254">
        <v>3985</v>
      </c>
      <c r="B105" s="159" t="s">
        <v>1488</v>
      </c>
      <c r="C105" s="151" t="s">
        <v>678</v>
      </c>
      <c r="D105" s="151" t="s">
        <v>682</v>
      </c>
      <c r="E105" s="152">
        <v>28990</v>
      </c>
    </row>
    <row r="106" spans="1:11" ht="17.45" customHeight="1" thickBot="1" x14ac:dyDescent="0.3">
      <c r="A106" s="254">
        <v>3990</v>
      </c>
      <c r="B106" s="195" t="s">
        <v>1481</v>
      </c>
      <c r="C106" s="196" t="s">
        <v>677</v>
      </c>
      <c r="D106" s="151" t="s">
        <v>680</v>
      </c>
      <c r="E106" s="152">
        <v>24990</v>
      </c>
    </row>
    <row r="107" spans="1:11" x14ac:dyDescent="0.25">
      <c r="A107" s="259">
        <v>4001</v>
      </c>
      <c r="B107" s="192" t="s">
        <v>1545</v>
      </c>
      <c r="C107" s="202" t="s">
        <v>677</v>
      </c>
      <c r="D107" s="209" t="s">
        <v>1034</v>
      </c>
      <c r="E107" s="163">
        <v>26990</v>
      </c>
      <c r="H107" s="161">
        <v>4001</v>
      </c>
      <c r="I107" s="162" t="s">
        <v>677</v>
      </c>
      <c r="J107" s="162" t="s">
        <v>1034</v>
      </c>
      <c r="K107" s="163">
        <v>26990</v>
      </c>
    </row>
    <row r="108" spans="1:11" x14ac:dyDescent="0.25">
      <c r="A108" s="260">
        <v>4003</v>
      </c>
      <c r="B108" s="191" t="s">
        <v>1546</v>
      </c>
      <c r="C108" s="202" t="s">
        <v>678</v>
      </c>
      <c r="D108" s="202" t="s">
        <v>1034</v>
      </c>
      <c r="E108" s="166">
        <v>25990</v>
      </c>
      <c r="F108" s="197"/>
      <c r="H108" s="164">
        <v>4003</v>
      </c>
      <c r="I108" s="165" t="s">
        <v>678</v>
      </c>
      <c r="J108" s="165" t="s">
        <v>1034</v>
      </c>
      <c r="K108" s="166">
        <v>25990</v>
      </c>
    </row>
    <row r="109" spans="1:11" x14ac:dyDescent="0.25">
      <c r="A109" s="260">
        <v>4008</v>
      </c>
      <c r="B109" s="191" t="s">
        <v>1516</v>
      </c>
      <c r="C109" s="202" t="s">
        <v>678</v>
      </c>
      <c r="D109" s="202" t="s">
        <v>682</v>
      </c>
      <c r="E109" s="166">
        <v>25990</v>
      </c>
      <c r="F109" s="197"/>
      <c r="H109" s="164">
        <v>4003</v>
      </c>
      <c r="I109" s="165" t="s">
        <v>678</v>
      </c>
      <c r="J109" s="165" t="s">
        <v>1034</v>
      </c>
      <c r="K109" s="166">
        <v>25990</v>
      </c>
    </row>
    <row r="110" spans="1:11" x14ac:dyDescent="0.25">
      <c r="A110" s="260">
        <v>4009</v>
      </c>
      <c r="B110" s="191" t="s">
        <v>1515</v>
      </c>
      <c r="C110" s="202" t="s">
        <v>678</v>
      </c>
      <c r="D110" s="202" t="s">
        <v>681</v>
      </c>
      <c r="E110" s="166">
        <v>25990</v>
      </c>
      <c r="H110" s="164">
        <v>4013</v>
      </c>
      <c r="I110" s="167" t="s">
        <v>678</v>
      </c>
      <c r="J110" s="167" t="s">
        <v>1034</v>
      </c>
      <c r="K110" s="166">
        <v>25990</v>
      </c>
    </row>
    <row r="111" spans="1:11" ht="15.75" customHeight="1" x14ac:dyDescent="0.25">
      <c r="A111" s="260">
        <v>4010</v>
      </c>
      <c r="B111" s="191" t="s">
        <v>1511</v>
      </c>
      <c r="C111" s="202" t="s">
        <v>678</v>
      </c>
      <c r="D111" s="202" t="s">
        <v>676</v>
      </c>
      <c r="E111" s="166">
        <v>24990</v>
      </c>
      <c r="H111" s="164">
        <v>4024</v>
      </c>
      <c r="I111" s="165" t="s">
        <v>678</v>
      </c>
      <c r="J111" s="165" t="s">
        <v>1034</v>
      </c>
      <c r="K111" s="166">
        <v>25990</v>
      </c>
    </row>
    <row r="112" spans="1:11" ht="15" customHeight="1" x14ac:dyDescent="0.25">
      <c r="A112" s="260">
        <v>4013</v>
      </c>
      <c r="B112" s="191" t="s">
        <v>1547</v>
      </c>
      <c r="C112" s="210" t="s">
        <v>678</v>
      </c>
      <c r="D112" s="210" t="s">
        <v>1034</v>
      </c>
      <c r="E112" s="166">
        <v>25990</v>
      </c>
      <c r="H112" s="164">
        <v>4026</v>
      </c>
      <c r="I112" s="165" t="s">
        <v>678</v>
      </c>
      <c r="J112" s="165" t="s">
        <v>1034</v>
      </c>
      <c r="K112" s="166">
        <v>25990</v>
      </c>
    </row>
    <row r="113" spans="1:11" x14ac:dyDescent="0.25">
      <c r="A113" s="260">
        <v>4018</v>
      </c>
      <c r="B113" s="191" t="s">
        <v>1560</v>
      </c>
      <c r="C113" s="202" t="s">
        <v>678</v>
      </c>
      <c r="D113" s="202" t="s">
        <v>620</v>
      </c>
      <c r="E113" s="166">
        <v>24990</v>
      </c>
      <c r="H113" s="164">
        <v>4034</v>
      </c>
      <c r="I113" s="165" t="s">
        <v>678</v>
      </c>
      <c r="J113" s="165" t="s">
        <v>1034</v>
      </c>
      <c r="K113" s="166">
        <v>25990</v>
      </c>
    </row>
    <row r="114" spans="1:11" x14ac:dyDescent="0.25">
      <c r="A114" s="260">
        <v>4019</v>
      </c>
      <c r="B114" s="191"/>
      <c r="C114" s="202" t="s">
        <v>677</v>
      </c>
      <c r="D114" s="202" t="s">
        <v>620</v>
      </c>
      <c r="E114" s="166">
        <v>23990</v>
      </c>
      <c r="H114" s="164">
        <v>4035</v>
      </c>
      <c r="I114" s="165" t="s">
        <v>677</v>
      </c>
      <c r="J114" s="165" t="s">
        <v>1489</v>
      </c>
      <c r="K114" s="166">
        <v>25990</v>
      </c>
    </row>
    <row r="115" spans="1:11" ht="16.5" customHeight="1" thickBot="1" x14ac:dyDescent="0.25">
      <c r="A115" s="244">
        <v>4019</v>
      </c>
      <c r="B115" s="208" t="s">
        <v>1579</v>
      </c>
      <c r="C115" s="201" t="s">
        <v>678</v>
      </c>
      <c r="D115" s="201" t="s">
        <v>620</v>
      </c>
      <c r="E115" s="203">
        <v>23990</v>
      </c>
      <c r="H115" s="168">
        <v>4036</v>
      </c>
      <c r="I115" s="169" t="s">
        <v>678</v>
      </c>
      <c r="J115" s="169" t="s">
        <v>1034</v>
      </c>
      <c r="K115" s="170">
        <v>25990</v>
      </c>
    </row>
    <row r="116" spans="1:11" ht="16.5" thickBot="1" x14ac:dyDescent="0.3">
      <c r="A116" s="261">
        <v>4024</v>
      </c>
      <c r="B116" s="191" t="s">
        <v>1548</v>
      </c>
      <c r="C116" s="202" t="s">
        <v>678</v>
      </c>
      <c r="D116" s="211" t="s">
        <v>1034</v>
      </c>
      <c r="E116" s="170">
        <v>26990</v>
      </c>
      <c r="H116" s="204"/>
      <c r="I116" s="169"/>
      <c r="J116" s="169"/>
      <c r="K116" s="170"/>
    </row>
    <row r="117" spans="1:11" ht="16.5" thickBot="1" x14ac:dyDescent="0.3">
      <c r="A117" s="261">
        <v>4026</v>
      </c>
      <c r="B117" s="191"/>
      <c r="C117" s="202" t="s">
        <v>678</v>
      </c>
      <c r="D117" s="211" t="s">
        <v>1034</v>
      </c>
      <c r="E117" s="170">
        <v>25990</v>
      </c>
      <c r="H117" s="171" t="s">
        <v>1490</v>
      </c>
      <c r="I117" s="169" t="s">
        <v>678</v>
      </c>
      <c r="J117" s="169" t="s">
        <v>1034</v>
      </c>
      <c r="K117" s="170">
        <v>27990</v>
      </c>
    </row>
    <row r="118" spans="1:11" ht="16.5" thickBot="1" x14ac:dyDescent="0.3">
      <c r="A118" s="262">
        <v>4028</v>
      </c>
      <c r="B118" s="191" t="s">
        <v>1531</v>
      </c>
      <c r="C118" s="202" t="s">
        <v>678</v>
      </c>
      <c r="D118" s="211" t="s">
        <v>1495</v>
      </c>
      <c r="E118" s="170">
        <v>25990</v>
      </c>
      <c r="H118" s="172">
        <v>4061</v>
      </c>
      <c r="I118" s="173" t="s">
        <v>678</v>
      </c>
      <c r="J118" s="173" t="s">
        <v>1034</v>
      </c>
      <c r="K118" s="174">
        <v>26990</v>
      </c>
    </row>
    <row r="119" spans="1:11" ht="16.5" thickBot="1" x14ac:dyDescent="0.3">
      <c r="A119" s="262">
        <v>4033</v>
      </c>
      <c r="B119" s="191"/>
      <c r="C119" s="202" t="s">
        <v>679</v>
      </c>
      <c r="D119" s="211" t="s">
        <v>680</v>
      </c>
      <c r="E119" s="170">
        <v>24990</v>
      </c>
      <c r="H119" s="164" t="s">
        <v>1491</v>
      </c>
      <c r="I119" s="165" t="s">
        <v>678</v>
      </c>
      <c r="J119" s="165" t="s">
        <v>1034</v>
      </c>
      <c r="K119" s="166">
        <v>25990</v>
      </c>
    </row>
    <row r="120" spans="1:11" x14ac:dyDescent="0.25">
      <c r="A120" s="263">
        <v>4034</v>
      </c>
      <c r="B120" s="191" t="s">
        <v>1566</v>
      </c>
      <c r="C120" s="202" t="s">
        <v>678</v>
      </c>
      <c r="D120" s="212" t="s">
        <v>1034</v>
      </c>
      <c r="E120" s="174">
        <v>25990</v>
      </c>
      <c r="H120" s="168"/>
      <c r="I120" s="173"/>
      <c r="J120" s="173"/>
      <c r="K120" s="174"/>
    </row>
    <row r="121" spans="1:11" ht="16.5" thickBot="1" x14ac:dyDescent="0.3">
      <c r="A121" s="260">
        <v>4035</v>
      </c>
      <c r="B121" s="191" t="s">
        <v>1543</v>
      </c>
      <c r="C121" s="202" t="s">
        <v>678</v>
      </c>
      <c r="D121" s="202" t="s">
        <v>1489</v>
      </c>
      <c r="E121" s="166">
        <v>25990</v>
      </c>
      <c r="H121" s="175" t="s">
        <v>1492</v>
      </c>
      <c r="I121" s="169" t="s">
        <v>678</v>
      </c>
      <c r="J121" s="169" t="s">
        <v>1034</v>
      </c>
      <c r="K121" s="170">
        <v>25990</v>
      </c>
    </row>
    <row r="122" spans="1:11" x14ac:dyDescent="0.25">
      <c r="A122" s="260">
        <v>4036</v>
      </c>
      <c r="B122" s="191"/>
      <c r="C122" s="202" t="s">
        <v>678</v>
      </c>
      <c r="D122" s="202" t="s">
        <v>1034</v>
      </c>
      <c r="E122" s="166">
        <v>25990</v>
      </c>
      <c r="H122" s="162" t="s">
        <v>1493</v>
      </c>
      <c r="I122" s="162" t="s">
        <v>677</v>
      </c>
      <c r="J122" s="162" t="s">
        <v>681</v>
      </c>
      <c r="K122" s="163">
        <v>25990</v>
      </c>
    </row>
    <row r="123" spans="1:11" ht="15.75" customHeight="1" thickBot="1" x14ac:dyDescent="0.3">
      <c r="A123" s="264">
        <v>4042</v>
      </c>
      <c r="B123" s="191" t="s">
        <v>1525</v>
      </c>
      <c r="C123" s="202" t="s">
        <v>677</v>
      </c>
      <c r="D123" s="211" t="s">
        <v>676</v>
      </c>
      <c r="E123" s="170">
        <v>24990</v>
      </c>
      <c r="H123" s="165" t="s">
        <v>1494</v>
      </c>
      <c r="I123" s="165" t="s">
        <v>677</v>
      </c>
      <c r="J123" s="165" t="s">
        <v>681</v>
      </c>
      <c r="K123" s="166">
        <v>25990</v>
      </c>
    </row>
    <row r="124" spans="1:11" x14ac:dyDescent="0.25">
      <c r="A124" s="265">
        <v>4044</v>
      </c>
      <c r="B124" s="191"/>
      <c r="C124" s="202" t="s">
        <v>678</v>
      </c>
      <c r="D124" s="209" t="s">
        <v>682</v>
      </c>
      <c r="E124" s="163">
        <v>26990</v>
      </c>
      <c r="H124" s="165">
        <v>4004</v>
      </c>
      <c r="I124" s="165" t="s">
        <v>678</v>
      </c>
      <c r="J124" s="165" t="s">
        <v>681</v>
      </c>
      <c r="K124" s="166">
        <v>25990</v>
      </c>
    </row>
    <row r="125" spans="1:11" x14ac:dyDescent="0.25">
      <c r="A125" s="245">
        <v>4044</v>
      </c>
      <c r="B125" s="191" t="s">
        <v>1520</v>
      </c>
      <c r="C125" s="191" t="s">
        <v>678</v>
      </c>
      <c r="D125" s="191" t="s">
        <v>682</v>
      </c>
      <c r="E125" s="203">
        <v>25990</v>
      </c>
      <c r="H125" s="173"/>
      <c r="I125" s="173"/>
      <c r="J125" s="173"/>
      <c r="K125" s="174"/>
    </row>
    <row r="126" spans="1:11" ht="16.5" customHeight="1" thickBot="1" x14ac:dyDescent="0.3">
      <c r="A126" s="245">
        <v>4044</v>
      </c>
      <c r="B126" s="191" t="s">
        <v>1520</v>
      </c>
      <c r="C126" s="191" t="s">
        <v>679</v>
      </c>
      <c r="D126" s="191" t="s">
        <v>682</v>
      </c>
      <c r="E126" s="29">
        <v>25990</v>
      </c>
      <c r="H126" s="169">
        <v>4009</v>
      </c>
      <c r="I126" s="169" t="s">
        <v>678</v>
      </c>
      <c r="J126" s="169" t="s">
        <v>681</v>
      </c>
      <c r="K126" s="170">
        <v>25990</v>
      </c>
    </row>
    <row r="127" spans="1:11" x14ac:dyDescent="0.25">
      <c r="A127" s="266">
        <v>4051</v>
      </c>
      <c r="B127" s="191" t="s">
        <v>1562</v>
      </c>
      <c r="C127" s="202" t="s">
        <v>679</v>
      </c>
      <c r="D127" s="202" t="s">
        <v>620</v>
      </c>
      <c r="E127" s="187">
        <v>23990</v>
      </c>
      <c r="H127" s="176">
        <v>4008</v>
      </c>
      <c r="I127" s="162" t="s">
        <v>678</v>
      </c>
      <c r="J127" s="162" t="s">
        <v>682</v>
      </c>
      <c r="K127" s="163">
        <v>25990</v>
      </c>
    </row>
    <row r="128" spans="1:11" x14ac:dyDescent="0.25">
      <c r="A128" s="266">
        <v>4052</v>
      </c>
      <c r="B128" s="192" t="s">
        <v>1544</v>
      </c>
      <c r="C128" s="202" t="s">
        <v>677</v>
      </c>
      <c r="D128" s="202" t="s">
        <v>682</v>
      </c>
      <c r="E128" s="187">
        <v>26990</v>
      </c>
      <c r="H128" s="177">
        <v>4011</v>
      </c>
      <c r="I128" s="165" t="s">
        <v>678</v>
      </c>
      <c r="J128" s="165" t="s">
        <v>682</v>
      </c>
      <c r="K128" s="166">
        <v>24990</v>
      </c>
    </row>
    <row r="129" spans="1:11" ht="16.5" thickBot="1" x14ac:dyDescent="0.3">
      <c r="A129" s="267">
        <v>4053</v>
      </c>
      <c r="B129" s="191" t="s">
        <v>1549</v>
      </c>
      <c r="C129" s="202" t="s">
        <v>678</v>
      </c>
      <c r="D129" s="202" t="s">
        <v>1495</v>
      </c>
      <c r="E129" s="187">
        <v>26990</v>
      </c>
      <c r="H129" s="177">
        <v>4011</v>
      </c>
      <c r="I129" s="165" t="s">
        <v>678</v>
      </c>
      <c r="J129" s="165" t="s">
        <v>682</v>
      </c>
      <c r="K129" s="166">
        <v>24990</v>
      </c>
    </row>
    <row r="130" spans="1:11" x14ac:dyDescent="0.25">
      <c r="A130" s="268">
        <v>4053</v>
      </c>
      <c r="B130" s="191"/>
      <c r="C130" s="202" t="s">
        <v>678</v>
      </c>
      <c r="D130" s="202" t="s">
        <v>680</v>
      </c>
      <c r="E130" s="187">
        <v>24990</v>
      </c>
      <c r="H130" s="177"/>
      <c r="I130" s="165"/>
      <c r="J130" s="165"/>
      <c r="K130" s="166"/>
    </row>
    <row r="131" spans="1:11" x14ac:dyDescent="0.25">
      <c r="A131" s="269">
        <v>4056</v>
      </c>
      <c r="B131" s="191" t="s">
        <v>1556</v>
      </c>
      <c r="C131" s="202" t="s">
        <v>679</v>
      </c>
      <c r="D131" s="202" t="s">
        <v>620</v>
      </c>
      <c r="E131" s="187">
        <v>24990</v>
      </c>
      <c r="H131" s="177">
        <v>4012</v>
      </c>
      <c r="I131" s="165" t="s">
        <v>678</v>
      </c>
      <c r="J131" s="165" t="s">
        <v>682</v>
      </c>
      <c r="K131" s="166">
        <v>25990</v>
      </c>
    </row>
    <row r="132" spans="1:11" ht="15.75" customHeight="1" x14ac:dyDescent="0.25">
      <c r="A132" s="246">
        <v>4060</v>
      </c>
      <c r="B132" s="191" t="s">
        <v>1503</v>
      </c>
      <c r="C132" s="191"/>
      <c r="D132" s="191"/>
      <c r="E132" s="29"/>
      <c r="H132" s="177">
        <v>4012</v>
      </c>
      <c r="I132" s="165" t="s">
        <v>678</v>
      </c>
      <c r="J132" s="165" t="s">
        <v>682</v>
      </c>
      <c r="K132" s="166">
        <v>25990</v>
      </c>
    </row>
    <row r="133" spans="1:11" x14ac:dyDescent="0.25">
      <c r="A133" s="270">
        <v>4061</v>
      </c>
      <c r="B133" s="191" t="s">
        <v>1504</v>
      </c>
      <c r="C133" s="202" t="s">
        <v>678</v>
      </c>
      <c r="D133" s="202" t="s">
        <v>1034</v>
      </c>
      <c r="E133" s="187">
        <v>26990</v>
      </c>
      <c r="H133" s="177">
        <v>4027</v>
      </c>
      <c r="I133" s="165" t="s">
        <v>678</v>
      </c>
      <c r="J133" s="165" t="s">
        <v>682</v>
      </c>
      <c r="K133" s="166">
        <v>26990</v>
      </c>
    </row>
    <row r="134" spans="1:11" ht="15.75" customHeight="1" x14ac:dyDescent="0.25">
      <c r="A134" s="245">
        <v>4061</v>
      </c>
      <c r="B134" s="191" t="s">
        <v>1503</v>
      </c>
      <c r="C134" s="191" t="s">
        <v>678</v>
      </c>
      <c r="D134" s="191" t="s">
        <v>620</v>
      </c>
      <c r="E134" s="29">
        <v>24990</v>
      </c>
      <c r="H134" s="177"/>
      <c r="I134" s="165"/>
      <c r="J134" s="165"/>
      <c r="K134" s="166"/>
    </row>
    <row r="135" spans="1:11" x14ac:dyDescent="0.25">
      <c r="A135" s="271">
        <v>4064</v>
      </c>
      <c r="B135" s="191" t="s">
        <v>1565</v>
      </c>
      <c r="C135" s="202" t="s">
        <v>678</v>
      </c>
      <c r="D135" s="202" t="s">
        <v>1563</v>
      </c>
      <c r="E135" s="187">
        <v>25990</v>
      </c>
      <c r="H135" s="177">
        <v>4029</v>
      </c>
      <c r="I135" s="165" t="s">
        <v>678</v>
      </c>
      <c r="J135" s="165" t="s">
        <v>682</v>
      </c>
      <c r="K135" s="166">
        <v>26990</v>
      </c>
    </row>
    <row r="136" spans="1:11" x14ac:dyDescent="0.25">
      <c r="A136" s="271">
        <v>4065</v>
      </c>
      <c r="B136" s="191"/>
      <c r="C136" s="202" t="s">
        <v>678</v>
      </c>
      <c r="D136" s="202" t="s">
        <v>682</v>
      </c>
      <c r="E136" s="187">
        <v>27990</v>
      </c>
      <c r="H136" s="177">
        <v>4044</v>
      </c>
      <c r="I136" s="165" t="s">
        <v>678</v>
      </c>
      <c r="J136" s="165" t="s">
        <v>682</v>
      </c>
      <c r="K136" s="166">
        <v>26990</v>
      </c>
    </row>
    <row r="137" spans="1:11" ht="15.75" customHeight="1" x14ac:dyDescent="0.25">
      <c r="A137" s="245">
        <v>4065</v>
      </c>
      <c r="B137" s="191" t="s">
        <v>1503</v>
      </c>
      <c r="C137" s="191" t="s">
        <v>678</v>
      </c>
      <c r="D137" s="191" t="s">
        <v>682</v>
      </c>
      <c r="E137" s="29">
        <v>25990</v>
      </c>
      <c r="H137" s="177">
        <v>4052</v>
      </c>
      <c r="I137" s="165" t="s">
        <v>677</v>
      </c>
      <c r="J137" s="165" t="s">
        <v>682</v>
      </c>
      <c r="K137" s="166">
        <v>26990</v>
      </c>
    </row>
    <row r="138" spans="1:11" ht="15.75" customHeight="1" x14ac:dyDescent="0.25">
      <c r="A138" s="245">
        <v>4076</v>
      </c>
      <c r="B138" s="191" t="s">
        <v>1592</v>
      </c>
      <c r="C138" s="191" t="s">
        <v>678</v>
      </c>
      <c r="D138" s="191" t="s">
        <v>680</v>
      </c>
      <c r="E138" s="29">
        <v>25990</v>
      </c>
      <c r="H138" s="177">
        <v>4053</v>
      </c>
      <c r="I138" s="165" t="s">
        <v>677</v>
      </c>
      <c r="J138" s="165" t="s">
        <v>682</v>
      </c>
      <c r="K138" s="166">
        <v>26990</v>
      </c>
    </row>
    <row r="139" spans="1:11" x14ac:dyDescent="0.25">
      <c r="A139" s="271" t="s">
        <v>1493</v>
      </c>
      <c r="B139" s="191" t="s">
        <v>1627</v>
      </c>
      <c r="C139" s="202" t="s">
        <v>677</v>
      </c>
      <c r="D139" s="202" t="s">
        <v>681</v>
      </c>
      <c r="E139" s="187">
        <v>25990</v>
      </c>
      <c r="H139" s="177">
        <v>4057</v>
      </c>
      <c r="I139" s="165" t="s">
        <v>678</v>
      </c>
      <c r="J139" s="165" t="s">
        <v>682</v>
      </c>
      <c r="K139" s="166">
        <v>26990</v>
      </c>
    </row>
    <row r="140" spans="1:11" ht="15.75" customHeight="1" thickBot="1" x14ac:dyDescent="0.3">
      <c r="A140" s="271" t="s">
        <v>1493</v>
      </c>
      <c r="B140" s="191"/>
      <c r="C140" s="202" t="s">
        <v>677</v>
      </c>
      <c r="D140" s="202" t="s">
        <v>681</v>
      </c>
      <c r="E140" s="187">
        <v>25990</v>
      </c>
      <c r="H140" s="178">
        <v>4065</v>
      </c>
      <c r="I140" s="169" t="s">
        <v>678</v>
      </c>
      <c r="J140" s="169" t="s">
        <v>682</v>
      </c>
      <c r="K140" s="170">
        <v>27990</v>
      </c>
    </row>
    <row r="141" spans="1:11" ht="16.5" customHeight="1" thickBot="1" x14ac:dyDescent="0.3">
      <c r="A141" s="245" t="s">
        <v>1493</v>
      </c>
      <c r="B141" s="191" t="s">
        <v>1519</v>
      </c>
      <c r="C141" s="191" t="s">
        <v>678</v>
      </c>
      <c r="D141" s="191" t="s">
        <v>682</v>
      </c>
      <c r="E141" s="29">
        <v>25990</v>
      </c>
      <c r="H141" s="179">
        <v>4028</v>
      </c>
      <c r="I141" s="180" t="s">
        <v>678</v>
      </c>
      <c r="J141" s="180" t="s">
        <v>1495</v>
      </c>
      <c r="K141" s="181">
        <v>25990</v>
      </c>
    </row>
    <row r="142" spans="1:11" ht="16.5" thickBot="1" x14ac:dyDescent="0.3">
      <c r="A142" s="271" t="s">
        <v>1518</v>
      </c>
      <c r="B142" s="191" t="s">
        <v>1538</v>
      </c>
      <c r="C142" s="202" t="s">
        <v>677</v>
      </c>
      <c r="D142" s="202" t="s">
        <v>681</v>
      </c>
      <c r="E142" s="187">
        <v>25990</v>
      </c>
      <c r="H142" s="161">
        <v>4007</v>
      </c>
      <c r="I142" s="162" t="s">
        <v>678</v>
      </c>
      <c r="J142" s="162" t="s">
        <v>620</v>
      </c>
      <c r="K142" s="163">
        <v>23990</v>
      </c>
    </row>
    <row r="143" spans="1:11" ht="16.5" customHeight="1" thickBot="1" x14ac:dyDescent="0.3">
      <c r="A143" s="245" t="s">
        <v>1518</v>
      </c>
      <c r="B143" s="191" t="s">
        <v>1517</v>
      </c>
      <c r="C143" s="191" t="s">
        <v>678</v>
      </c>
      <c r="D143" s="191" t="s">
        <v>682</v>
      </c>
      <c r="E143" s="29">
        <v>25990</v>
      </c>
      <c r="H143" s="205"/>
      <c r="I143" s="206"/>
      <c r="J143" s="206"/>
      <c r="K143" s="207"/>
    </row>
    <row r="144" spans="1:11" ht="16.5" thickBot="1" x14ac:dyDescent="0.3">
      <c r="A144" s="271" t="s">
        <v>1494</v>
      </c>
      <c r="B144" s="191"/>
      <c r="C144" s="202" t="s">
        <v>677</v>
      </c>
      <c r="D144" s="202" t="s">
        <v>681</v>
      </c>
      <c r="E144" s="187">
        <v>25990</v>
      </c>
      <c r="H144" s="179" t="s">
        <v>1496</v>
      </c>
      <c r="I144" s="180" t="s">
        <v>678</v>
      </c>
      <c r="J144" s="180" t="s">
        <v>620</v>
      </c>
      <c r="K144" s="181">
        <v>25990</v>
      </c>
    </row>
    <row r="145" spans="1:11" x14ac:dyDescent="0.25">
      <c r="A145" s="271" t="s">
        <v>1521</v>
      </c>
      <c r="B145" s="191" t="s">
        <v>1523</v>
      </c>
      <c r="C145" s="202" t="s">
        <v>678</v>
      </c>
      <c r="D145" s="202" t="s">
        <v>681</v>
      </c>
      <c r="E145" s="187">
        <v>25990</v>
      </c>
      <c r="H145" s="182">
        <v>4015</v>
      </c>
      <c r="I145" s="183" t="s">
        <v>678</v>
      </c>
      <c r="J145" s="184" t="s">
        <v>620</v>
      </c>
      <c r="K145" s="185">
        <v>23990</v>
      </c>
    </row>
    <row r="146" spans="1:11" ht="15.75" customHeight="1" x14ac:dyDescent="0.25">
      <c r="A146" s="245" t="s">
        <v>1521</v>
      </c>
      <c r="B146" s="191" t="s">
        <v>1540</v>
      </c>
      <c r="C146" s="191" t="s">
        <v>679</v>
      </c>
      <c r="D146" s="191" t="s">
        <v>681</v>
      </c>
      <c r="E146" s="29">
        <v>25990</v>
      </c>
      <c r="H146" s="182"/>
      <c r="I146" s="183"/>
      <c r="J146" s="184"/>
      <c r="K146" s="185"/>
    </row>
    <row r="147" spans="1:11" ht="15.75" customHeight="1" x14ac:dyDescent="0.25">
      <c r="A147" s="271" t="s">
        <v>1522</v>
      </c>
      <c r="B147" s="191" t="s">
        <v>1524</v>
      </c>
      <c r="C147" s="202" t="s">
        <v>678</v>
      </c>
      <c r="D147" s="202" t="s">
        <v>681</v>
      </c>
      <c r="E147" s="187">
        <v>25990</v>
      </c>
      <c r="H147" s="164">
        <v>4015</v>
      </c>
      <c r="I147" s="167" t="s">
        <v>678</v>
      </c>
      <c r="J147" s="165" t="s">
        <v>620</v>
      </c>
      <c r="K147" s="166">
        <v>23990</v>
      </c>
    </row>
    <row r="148" spans="1:11" ht="15.75" customHeight="1" x14ac:dyDescent="0.25">
      <c r="A148" s="245" t="s">
        <v>1522</v>
      </c>
      <c r="B148" s="191" t="s">
        <v>1541</v>
      </c>
      <c r="C148" s="191" t="s">
        <v>679</v>
      </c>
      <c r="D148" s="191" t="s">
        <v>681</v>
      </c>
      <c r="E148" s="29">
        <v>25990</v>
      </c>
      <c r="H148" s="164" t="s">
        <v>1497</v>
      </c>
      <c r="I148" s="167" t="s">
        <v>678</v>
      </c>
      <c r="J148" s="165" t="s">
        <v>620</v>
      </c>
      <c r="K148" s="166">
        <v>25990</v>
      </c>
    </row>
    <row r="149" spans="1:11" ht="15.75" customHeight="1" x14ac:dyDescent="0.25">
      <c r="A149" s="271" t="s">
        <v>1637</v>
      </c>
      <c r="B149" s="191" t="s">
        <v>1510</v>
      </c>
      <c r="C149" s="191" t="s">
        <v>679</v>
      </c>
      <c r="D149" s="191" t="s">
        <v>620</v>
      </c>
      <c r="E149" s="29">
        <v>24990</v>
      </c>
      <c r="H149" s="164">
        <v>4016</v>
      </c>
      <c r="I149" s="165" t="s">
        <v>678</v>
      </c>
      <c r="J149" s="165" t="s">
        <v>620</v>
      </c>
      <c r="K149" s="166">
        <v>24990</v>
      </c>
    </row>
    <row r="150" spans="1:11" x14ac:dyDescent="0.25">
      <c r="A150" s="245" t="s">
        <v>1496</v>
      </c>
      <c r="B150" s="191" t="s">
        <v>1561</v>
      </c>
      <c r="C150" s="191" t="s">
        <v>679</v>
      </c>
      <c r="D150" s="191" t="s">
        <v>620</v>
      </c>
      <c r="E150" s="29">
        <v>26990</v>
      </c>
      <c r="H150" s="164">
        <v>4018</v>
      </c>
      <c r="I150" s="165" t="s">
        <v>678</v>
      </c>
      <c r="J150" s="165" t="s">
        <v>620</v>
      </c>
      <c r="K150" s="166">
        <v>23990</v>
      </c>
    </row>
    <row r="151" spans="1:11" ht="16.5" thickBot="1" x14ac:dyDescent="0.3">
      <c r="A151" s="271" t="s">
        <v>1496</v>
      </c>
      <c r="B151" s="191"/>
      <c r="C151" s="202" t="s">
        <v>678</v>
      </c>
      <c r="D151" s="202" t="s">
        <v>620</v>
      </c>
      <c r="E151" s="187">
        <v>25990</v>
      </c>
      <c r="H151" s="175">
        <v>4019</v>
      </c>
      <c r="I151" s="169" t="s">
        <v>677</v>
      </c>
      <c r="J151" s="169" t="s">
        <v>620</v>
      </c>
      <c r="K151" s="170">
        <v>23990</v>
      </c>
    </row>
    <row r="152" spans="1:11" ht="15.75" customHeight="1" x14ac:dyDescent="0.25">
      <c r="A152" s="245" t="s">
        <v>1496</v>
      </c>
      <c r="B152" s="191" t="s">
        <v>1561</v>
      </c>
      <c r="C152" s="191" t="s">
        <v>679</v>
      </c>
      <c r="D152" s="191" t="s">
        <v>620</v>
      </c>
      <c r="E152" s="29">
        <v>26990</v>
      </c>
      <c r="H152" s="161">
        <v>4051</v>
      </c>
      <c r="I152" s="162" t="s">
        <v>679</v>
      </c>
      <c r="J152" s="162" t="s">
        <v>620</v>
      </c>
      <c r="K152" s="163">
        <v>23990</v>
      </c>
    </row>
    <row r="153" spans="1:11" ht="15.75" customHeight="1" x14ac:dyDescent="0.25">
      <c r="A153" s="271" t="s">
        <v>1602</v>
      </c>
      <c r="B153" s="191" t="s">
        <v>1603</v>
      </c>
      <c r="C153" s="202" t="s">
        <v>678</v>
      </c>
      <c r="D153" s="202" t="s">
        <v>682</v>
      </c>
      <c r="E153" s="187">
        <v>24990</v>
      </c>
      <c r="H153" s="164">
        <v>4056</v>
      </c>
      <c r="I153" s="165" t="s">
        <v>679</v>
      </c>
      <c r="J153" s="165" t="s">
        <v>620</v>
      </c>
      <c r="K153" s="166">
        <v>24990</v>
      </c>
    </row>
    <row r="154" spans="1:11" x14ac:dyDescent="0.25">
      <c r="A154" s="271" t="s">
        <v>1508</v>
      </c>
      <c r="B154" s="191" t="s">
        <v>1509</v>
      </c>
      <c r="C154" s="202" t="s">
        <v>678</v>
      </c>
      <c r="D154" s="202" t="s">
        <v>682</v>
      </c>
      <c r="E154" s="187">
        <v>24990</v>
      </c>
      <c r="H154" s="164" t="s">
        <v>1498</v>
      </c>
      <c r="I154" s="165" t="s">
        <v>678</v>
      </c>
      <c r="J154" s="165" t="s">
        <v>620</v>
      </c>
      <c r="K154" s="166">
        <v>26990</v>
      </c>
    </row>
    <row r="155" spans="1:11" ht="16.5" customHeight="1" thickBot="1" x14ac:dyDescent="0.3">
      <c r="A155" s="271" t="s">
        <v>1604</v>
      </c>
      <c r="B155" s="191" t="s">
        <v>1507</v>
      </c>
      <c r="C155" s="202" t="s">
        <v>678</v>
      </c>
      <c r="D155" s="202" t="s">
        <v>682</v>
      </c>
      <c r="E155" s="187">
        <v>24990</v>
      </c>
      <c r="H155" s="175" t="s">
        <v>1499</v>
      </c>
      <c r="I155" s="169" t="s">
        <v>678</v>
      </c>
      <c r="J155" s="169" t="s">
        <v>620</v>
      </c>
      <c r="K155" s="170">
        <v>26990</v>
      </c>
    </row>
    <row r="156" spans="1:11" ht="15.75" customHeight="1" x14ac:dyDescent="0.25">
      <c r="A156" s="272" t="s">
        <v>1634</v>
      </c>
      <c r="B156" s="190" t="s">
        <v>1635</v>
      </c>
      <c r="C156" s="213" t="s">
        <v>678</v>
      </c>
      <c r="D156" s="213" t="s">
        <v>682</v>
      </c>
      <c r="E156" s="189">
        <v>25990</v>
      </c>
      <c r="H156" s="161">
        <v>4010</v>
      </c>
      <c r="I156" s="162" t="s">
        <v>678</v>
      </c>
      <c r="J156" s="162" t="s">
        <v>676</v>
      </c>
      <c r="K156" s="186">
        <v>24990</v>
      </c>
    </row>
    <row r="157" spans="1:11" x14ac:dyDescent="0.25">
      <c r="A157" s="272" t="s">
        <v>1529</v>
      </c>
      <c r="B157" s="190" t="s">
        <v>1636</v>
      </c>
      <c r="C157" s="213" t="s">
        <v>678</v>
      </c>
      <c r="D157" s="213" t="s">
        <v>682</v>
      </c>
      <c r="E157" s="189">
        <v>25990</v>
      </c>
      <c r="H157" s="198" t="s">
        <v>1500</v>
      </c>
      <c r="I157" s="199" t="s">
        <v>678</v>
      </c>
      <c r="J157" s="199" t="s">
        <v>676</v>
      </c>
      <c r="K157" s="200">
        <v>24990</v>
      </c>
    </row>
    <row r="158" spans="1:11" ht="15" customHeight="1" x14ac:dyDescent="0.25">
      <c r="A158" s="273" t="s">
        <v>1529</v>
      </c>
      <c r="B158" s="190" t="s">
        <v>1530</v>
      </c>
      <c r="C158" s="213" t="s">
        <v>678</v>
      </c>
      <c r="D158" s="213" t="s">
        <v>682</v>
      </c>
      <c r="E158" s="189">
        <v>25990</v>
      </c>
      <c r="H158" s="198" t="s">
        <v>1501</v>
      </c>
      <c r="I158" s="199" t="s">
        <v>678</v>
      </c>
      <c r="J158" s="199" t="s">
        <v>676</v>
      </c>
      <c r="K158" s="200">
        <v>24990</v>
      </c>
    </row>
    <row r="159" spans="1:11" ht="15.75" customHeight="1" x14ac:dyDescent="0.25">
      <c r="A159" s="271" t="s">
        <v>1527</v>
      </c>
      <c r="B159" s="191" t="s">
        <v>1528</v>
      </c>
      <c r="C159" s="210" t="s">
        <v>678</v>
      </c>
      <c r="D159" s="202" t="s">
        <v>620</v>
      </c>
      <c r="E159" s="187">
        <v>23990</v>
      </c>
      <c r="H159" s="164">
        <v>4021</v>
      </c>
      <c r="I159" s="165" t="s">
        <v>678</v>
      </c>
      <c r="J159" s="165" t="s">
        <v>676</v>
      </c>
      <c r="K159" s="187">
        <v>24990</v>
      </c>
    </row>
    <row r="160" spans="1:11" x14ac:dyDescent="0.25">
      <c r="A160" s="271" t="s">
        <v>1526</v>
      </c>
      <c r="B160" s="191" t="s">
        <v>1512</v>
      </c>
      <c r="C160" s="210" t="s">
        <v>678</v>
      </c>
      <c r="D160" s="202" t="s">
        <v>620</v>
      </c>
      <c r="E160" s="187">
        <v>23990</v>
      </c>
      <c r="H160" s="164" t="s">
        <v>1502</v>
      </c>
      <c r="I160" s="165" t="s">
        <v>678</v>
      </c>
      <c r="J160" s="165" t="s">
        <v>676</v>
      </c>
      <c r="K160" s="187">
        <v>26990</v>
      </c>
    </row>
    <row r="161" spans="1:11" ht="15.75" customHeight="1" x14ac:dyDescent="0.25">
      <c r="A161" s="271" t="s">
        <v>1497</v>
      </c>
      <c r="B161" s="191" t="s">
        <v>1532</v>
      </c>
      <c r="C161" s="210" t="s">
        <v>678</v>
      </c>
      <c r="D161" s="202" t="s">
        <v>620</v>
      </c>
      <c r="E161" s="187">
        <v>27990</v>
      </c>
      <c r="H161" s="164">
        <v>4023</v>
      </c>
      <c r="I161" s="165" t="s">
        <v>678</v>
      </c>
      <c r="J161" s="165" t="s">
        <v>676</v>
      </c>
      <c r="K161" s="187">
        <v>23990</v>
      </c>
    </row>
    <row r="162" spans="1:11" ht="15.75" customHeight="1" thickBot="1" x14ac:dyDescent="0.3">
      <c r="A162" s="271" t="s">
        <v>1631</v>
      </c>
      <c r="B162" s="191" t="s">
        <v>1513</v>
      </c>
      <c r="C162" s="202" t="s">
        <v>678</v>
      </c>
      <c r="D162" s="202" t="s">
        <v>620</v>
      </c>
      <c r="E162" s="187">
        <v>24990</v>
      </c>
      <c r="H162" s="175">
        <v>4042</v>
      </c>
      <c r="I162" s="169" t="s">
        <v>677</v>
      </c>
      <c r="J162" s="169" t="s">
        <v>676</v>
      </c>
      <c r="K162" s="188">
        <v>24990</v>
      </c>
    </row>
    <row r="163" spans="1:11" ht="15.75" customHeight="1" x14ac:dyDescent="0.25">
      <c r="A163" s="271" t="s">
        <v>1632</v>
      </c>
      <c r="B163" s="191" t="s">
        <v>1633</v>
      </c>
      <c r="C163" s="202" t="s">
        <v>678</v>
      </c>
      <c r="D163" s="202" t="s">
        <v>620</v>
      </c>
      <c r="E163" s="187">
        <v>24990</v>
      </c>
      <c r="H163" s="162">
        <v>4033</v>
      </c>
      <c r="I163" s="162" t="s">
        <v>679</v>
      </c>
      <c r="J163" s="162" t="s">
        <v>680</v>
      </c>
      <c r="K163" s="163">
        <v>24990</v>
      </c>
    </row>
    <row r="164" spans="1:11" ht="15" customHeight="1" x14ac:dyDescent="0.25">
      <c r="A164" s="272" t="s">
        <v>1500</v>
      </c>
      <c r="B164" s="193" t="s">
        <v>1536</v>
      </c>
      <c r="C164" s="213" t="s">
        <v>678</v>
      </c>
      <c r="D164" s="213" t="s">
        <v>676</v>
      </c>
      <c r="E164" s="189">
        <v>24990</v>
      </c>
      <c r="H164" s="165">
        <v>4053</v>
      </c>
      <c r="I164" s="165" t="s">
        <v>678</v>
      </c>
      <c r="J164" s="165" t="s">
        <v>680</v>
      </c>
      <c r="K164" s="166">
        <v>24990</v>
      </c>
    </row>
    <row r="165" spans="1:11" ht="15.75" customHeight="1" x14ac:dyDescent="0.2">
      <c r="A165" s="247" t="s">
        <v>1577</v>
      </c>
      <c r="B165" s="201" t="s">
        <v>1578</v>
      </c>
      <c r="C165" s="201" t="s">
        <v>679</v>
      </c>
      <c r="D165" s="201" t="s">
        <v>676</v>
      </c>
      <c r="E165" s="29">
        <v>24990</v>
      </c>
      <c r="H165" s="165">
        <v>4059</v>
      </c>
      <c r="I165" s="165" t="s">
        <v>678</v>
      </c>
      <c r="J165" s="165" t="s">
        <v>680</v>
      </c>
      <c r="K165" s="166">
        <v>25990</v>
      </c>
    </row>
    <row r="166" spans="1:11" ht="15" customHeight="1" x14ac:dyDescent="0.25">
      <c r="A166" s="272" t="s">
        <v>1501</v>
      </c>
      <c r="B166" s="193" t="s">
        <v>1555</v>
      </c>
      <c r="C166" s="213" t="s">
        <v>678</v>
      </c>
      <c r="D166" s="213" t="s">
        <v>676</v>
      </c>
      <c r="E166" s="189">
        <v>24990</v>
      </c>
      <c r="H166" s="165">
        <v>4059</v>
      </c>
      <c r="I166" s="165" t="s">
        <v>678</v>
      </c>
      <c r="J166" s="165" t="s">
        <v>680</v>
      </c>
      <c r="K166" s="166">
        <v>25990</v>
      </c>
    </row>
    <row r="167" spans="1:11" x14ac:dyDescent="0.25">
      <c r="A167" s="271" t="s">
        <v>1626</v>
      </c>
      <c r="B167" s="191" t="s">
        <v>1514</v>
      </c>
      <c r="C167" s="202" t="s">
        <v>678</v>
      </c>
      <c r="D167" s="202" t="s">
        <v>676</v>
      </c>
      <c r="E167" s="187">
        <v>24990</v>
      </c>
      <c r="H167" s="165">
        <v>4064</v>
      </c>
      <c r="I167" s="165" t="s">
        <v>678</v>
      </c>
      <c r="J167" s="165" t="s">
        <v>680</v>
      </c>
      <c r="K167" s="166">
        <v>25990</v>
      </c>
    </row>
    <row r="168" spans="1:11" ht="16.5" customHeight="1" thickBot="1" x14ac:dyDescent="0.3">
      <c r="A168" s="245" t="s">
        <v>1502</v>
      </c>
      <c r="B168" s="191" t="s">
        <v>1574</v>
      </c>
      <c r="C168" s="202" t="s">
        <v>678</v>
      </c>
      <c r="D168" s="202" t="s">
        <v>676</v>
      </c>
      <c r="E168" s="187">
        <v>26990</v>
      </c>
      <c r="H168" s="169">
        <v>4064</v>
      </c>
      <c r="I168" s="169" t="s">
        <v>678</v>
      </c>
      <c r="J168" s="169" t="s">
        <v>680</v>
      </c>
      <c r="K168" s="170">
        <v>25990</v>
      </c>
    </row>
    <row r="169" spans="1:11" ht="15" customHeight="1" x14ac:dyDescent="0.25">
      <c r="A169" s="271" t="s">
        <v>1628</v>
      </c>
      <c r="B169" s="191" t="s">
        <v>1537</v>
      </c>
      <c r="C169" s="202" t="s">
        <v>678</v>
      </c>
      <c r="D169" s="202" t="s">
        <v>676</v>
      </c>
      <c r="E169" s="187">
        <v>23990</v>
      </c>
    </row>
    <row r="170" spans="1:11" x14ac:dyDescent="0.25">
      <c r="A170" s="271" t="s">
        <v>1629</v>
      </c>
      <c r="B170" s="191" t="s">
        <v>1630</v>
      </c>
      <c r="C170" s="202" t="s">
        <v>678</v>
      </c>
      <c r="D170" s="202" t="s">
        <v>676</v>
      </c>
      <c r="E170" s="187">
        <v>23990</v>
      </c>
    </row>
    <row r="171" spans="1:11" ht="15" customHeight="1" x14ac:dyDescent="0.25">
      <c r="A171" s="245" t="s">
        <v>1558</v>
      </c>
      <c r="B171" s="191" t="s">
        <v>1542</v>
      </c>
      <c r="C171" s="191" t="s">
        <v>678</v>
      </c>
      <c r="D171" s="191" t="s">
        <v>1034</v>
      </c>
      <c r="E171" s="29">
        <v>26990</v>
      </c>
    </row>
    <row r="172" spans="1:11" ht="15.75" customHeight="1" x14ac:dyDescent="0.25">
      <c r="A172" s="245" t="s">
        <v>1557</v>
      </c>
      <c r="B172" s="191" t="s">
        <v>1559</v>
      </c>
      <c r="C172" s="191" t="s">
        <v>678</v>
      </c>
      <c r="D172" s="191" t="s">
        <v>1034</v>
      </c>
      <c r="E172" s="29">
        <v>26990</v>
      </c>
    </row>
    <row r="173" spans="1:11" ht="15" customHeight="1" x14ac:dyDescent="0.25">
      <c r="A173" s="271" t="s">
        <v>1552</v>
      </c>
      <c r="B173" s="191" t="s">
        <v>1553</v>
      </c>
      <c r="C173" s="202" t="s">
        <v>678</v>
      </c>
      <c r="D173" s="202" t="s">
        <v>682</v>
      </c>
      <c r="E173" s="187">
        <v>26990</v>
      </c>
    </row>
    <row r="174" spans="1:11" x14ac:dyDescent="0.25">
      <c r="A174" s="271" t="s">
        <v>1539</v>
      </c>
      <c r="B174" s="191" t="s">
        <v>1554</v>
      </c>
      <c r="C174" s="202" t="s">
        <v>678</v>
      </c>
      <c r="D174" s="202" t="s">
        <v>682</v>
      </c>
      <c r="E174" s="187">
        <v>26990</v>
      </c>
    </row>
    <row r="175" spans="1:11" ht="16.5" customHeight="1" x14ac:dyDescent="0.25">
      <c r="A175" s="271" t="s">
        <v>1610</v>
      </c>
      <c r="B175" s="191" t="s">
        <v>1550</v>
      </c>
      <c r="C175" s="202" t="s">
        <v>679</v>
      </c>
      <c r="D175" s="202" t="s">
        <v>1613</v>
      </c>
      <c r="E175" s="187">
        <v>26990</v>
      </c>
    </row>
    <row r="176" spans="1:11" ht="15" customHeight="1" x14ac:dyDescent="0.25">
      <c r="A176" s="271" t="s">
        <v>1611</v>
      </c>
      <c r="B176" s="191" t="s">
        <v>1612</v>
      </c>
      <c r="C176" s="202" t="s">
        <v>678</v>
      </c>
      <c r="D176" s="202" t="s">
        <v>682</v>
      </c>
      <c r="E176" s="187">
        <v>26990</v>
      </c>
    </row>
    <row r="177" spans="1:5" ht="15" customHeight="1" x14ac:dyDescent="0.25">
      <c r="A177" s="245" t="s">
        <v>1614</v>
      </c>
      <c r="B177" s="191" t="s">
        <v>1543</v>
      </c>
      <c r="C177" s="191" t="s">
        <v>678</v>
      </c>
      <c r="D177" s="191" t="s">
        <v>1615</v>
      </c>
      <c r="E177" s="29">
        <v>26990</v>
      </c>
    </row>
    <row r="178" spans="1:5" x14ac:dyDescent="0.25">
      <c r="A178" s="274" t="s">
        <v>1490</v>
      </c>
      <c r="B178" s="191"/>
      <c r="C178" s="202" t="s">
        <v>678</v>
      </c>
      <c r="D178" s="202" t="s">
        <v>1034</v>
      </c>
      <c r="E178" s="187">
        <v>27990</v>
      </c>
    </row>
    <row r="179" spans="1:5" ht="15.75" customHeight="1" x14ac:dyDescent="0.25">
      <c r="A179" s="245" t="s">
        <v>1573</v>
      </c>
      <c r="B179" s="191" t="s">
        <v>1505</v>
      </c>
      <c r="C179" s="191" t="s">
        <v>678</v>
      </c>
      <c r="D179" s="191" t="s">
        <v>620</v>
      </c>
      <c r="E179" s="29">
        <v>24990</v>
      </c>
    </row>
    <row r="180" spans="1:5" ht="15" customHeight="1" x14ac:dyDescent="0.2">
      <c r="A180" s="248" t="s">
        <v>1567</v>
      </c>
      <c r="B180" s="14" t="s">
        <v>1568</v>
      </c>
      <c r="C180" s="14" t="s">
        <v>678</v>
      </c>
      <c r="D180" s="14" t="s">
        <v>620</v>
      </c>
      <c r="E180" s="29">
        <v>24990</v>
      </c>
    </row>
    <row r="181" spans="1:5" ht="15" customHeight="1" x14ac:dyDescent="0.25">
      <c r="A181" s="271" t="s">
        <v>1605</v>
      </c>
      <c r="B181" s="191" t="s">
        <v>1533</v>
      </c>
      <c r="C181" s="202" t="s">
        <v>679</v>
      </c>
      <c r="D181" s="202" t="s">
        <v>1608</v>
      </c>
      <c r="E181" s="187">
        <v>26990</v>
      </c>
    </row>
    <row r="182" spans="1:5" ht="16.5" customHeight="1" x14ac:dyDescent="0.25">
      <c r="A182" s="271" t="s">
        <v>1606</v>
      </c>
      <c r="B182" s="191" t="s">
        <v>1607</v>
      </c>
      <c r="C182" s="202" t="s">
        <v>678</v>
      </c>
      <c r="D182" s="202" t="s">
        <v>682</v>
      </c>
      <c r="E182" s="187">
        <v>26990</v>
      </c>
    </row>
    <row r="183" spans="1:5" x14ac:dyDescent="0.25">
      <c r="A183" s="271" t="s">
        <v>1506</v>
      </c>
      <c r="B183" s="194" t="s">
        <v>1601</v>
      </c>
      <c r="C183" s="202" t="s">
        <v>678</v>
      </c>
      <c r="D183" s="202" t="s">
        <v>680</v>
      </c>
      <c r="E183" s="187">
        <v>25990</v>
      </c>
    </row>
    <row r="184" spans="1:5" x14ac:dyDescent="0.25">
      <c r="A184" s="271" t="s">
        <v>1506</v>
      </c>
      <c r="B184" s="194" t="s">
        <v>1535</v>
      </c>
      <c r="C184" s="202" t="s">
        <v>678</v>
      </c>
      <c r="D184" s="202" t="s">
        <v>680</v>
      </c>
      <c r="E184" s="187">
        <v>25990</v>
      </c>
    </row>
    <row r="185" spans="1:5" ht="15" customHeight="1" x14ac:dyDescent="0.25">
      <c r="A185" s="271" t="s">
        <v>1575</v>
      </c>
      <c r="B185" s="191" t="s">
        <v>1534</v>
      </c>
      <c r="C185" s="202" t="s">
        <v>678</v>
      </c>
      <c r="D185" s="202" t="s">
        <v>680</v>
      </c>
      <c r="E185" s="187">
        <v>25990</v>
      </c>
    </row>
    <row r="186" spans="1:5" ht="15.75" customHeight="1" x14ac:dyDescent="0.25">
      <c r="A186" s="271" t="s">
        <v>1575</v>
      </c>
      <c r="B186" s="194" t="s">
        <v>1576</v>
      </c>
      <c r="C186" s="202" t="s">
        <v>678</v>
      </c>
      <c r="D186" s="202" t="s">
        <v>680</v>
      </c>
      <c r="E186" s="187">
        <v>25990</v>
      </c>
    </row>
    <row r="187" spans="1:5" x14ac:dyDescent="0.25">
      <c r="A187" s="245" t="s">
        <v>1594</v>
      </c>
      <c r="B187" s="191" t="s">
        <v>1503</v>
      </c>
      <c r="C187" s="191" t="s">
        <v>679</v>
      </c>
      <c r="D187" s="191" t="s">
        <v>620</v>
      </c>
      <c r="E187" s="29">
        <v>24990</v>
      </c>
    </row>
    <row r="188" spans="1:5" ht="16.5" x14ac:dyDescent="0.2">
      <c r="A188" s="248" t="s">
        <v>1569</v>
      </c>
      <c r="B188" s="14" t="s">
        <v>1570</v>
      </c>
      <c r="C188" s="14" t="s">
        <v>679</v>
      </c>
      <c r="D188" s="14" t="s">
        <v>620</v>
      </c>
      <c r="E188" s="29">
        <v>24990</v>
      </c>
    </row>
    <row r="189" spans="1:5" ht="16.5" x14ac:dyDescent="0.2">
      <c r="A189" s="248" t="s">
        <v>1571</v>
      </c>
      <c r="B189" s="14" t="s">
        <v>1572</v>
      </c>
      <c r="C189" s="14" t="s">
        <v>678</v>
      </c>
      <c r="D189" s="14" t="s">
        <v>620</v>
      </c>
      <c r="E189" s="29">
        <v>24990</v>
      </c>
    </row>
    <row r="190" spans="1:5" ht="15" customHeight="1" x14ac:dyDescent="0.25">
      <c r="A190" s="245" t="s">
        <v>1593</v>
      </c>
      <c r="B190" s="191" t="s">
        <v>1596</v>
      </c>
      <c r="C190" s="191" t="s">
        <v>678</v>
      </c>
      <c r="D190" s="191" t="s">
        <v>1034</v>
      </c>
      <c r="E190" s="29">
        <v>26990</v>
      </c>
    </row>
    <row r="191" spans="1:5" ht="15" customHeight="1" x14ac:dyDescent="0.25">
      <c r="A191" s="245" t="s">
        <v>1582</v>
      </c>
      <c r="B191" s="191" t="s">
        <v>1570</v>
      </c>
      <c r="C191" s="191" t="s">
        <v>679</v>
      </c>
      <c r="D191" s="191" t="s">
        <v>620</v>
      </c>
      <c r="E191" s="29">
        <v>24990</v>
      </c>
    </row>
    <row r="192" spans="1:5" ht="15" customHeight="1" x14ac:dyDescent="0.25">
      <c r="A192" s="245" t="s">
        <v>1582</v>
      </c>
      <c r="B192" s="191" t="s">
        <v>1595</v>
      </c>
      <c r="C192" s="191" t="s">
        <v>678</v>
      </c>
      <c r="D192" s="191" t="s">
        <v>1034</v>
      </c>
      <c r="E192" s="29">
        <v>26990</v>
      </c>
    </row>
    <row r="193" spans="1:5" ht="15" customHeight="1" x14ac:dyDescent="0.25">
      <c r="A193" s="245" t="s">
        <v>1583</v>
      </c>
      <c r="B193" s="191" t="s">
        <v>1572</v>
      </c>
      <c r="C193" s="191" t="s">
        <v>678</v>
      </c>
      <c r="D193" s="191" t="s">
        <v>620</v>
      </c>
      <c r="E193" s="29">
        <v>24990</v>
      </c>
    </row>
    <row r="194" spans="1:5" ht="15" customHeight="1" x14ac:dyDescent="0.25">
      <c r="A194" s="245" t="s">
        <v>1583</v>
      </c>
      <c r="B194" s="191" t="s">
        <v>1597</v>
      </c>
      <c r="C194" s="191" t="s">
        <v>679</v>
      </c>
      <c r="D194" s="191" t="s">
        <v>1034</v>
      </c>
      <c r="E194" s="29">
        <v>26990</v>
      </c>
    </row>
    <row r="195" spans="1:5" x14ac:dyDescent="0.25">
      <c r="A195" s="271" t="s">
        <v>1498</v>
      </c>
      <c r="B195" s="191" t="s">
        <v>1503</v>
      </c>
      <c r="C195" s="202" t="s">
        <v>678</v>
      </c>
      <c r="D195" s="202" t="s">
        <v>682</v>
      </c>
      <c r="E195" s="187">
        <v>26990</v>
      </c>
    </row>
    <row r="196" spans="1:5" ht="15.75" customHeight="1" x14ac:dyDescent="0.25">
      <c r="A196" s="245" t="s">
        <v>1620</v>
      </c>
      <c r="B196" s="191" t="s">
        <v>1621</v>
      </c>
      <c r="C196" s="191" t="s">
        <v>1622</v>
      </c>
      <c r="D196" s="191" t="s">
        <v>1613</v>
      </c>
      <c r="E196" s="29">
        <v>26990</v>
      </c>
    </row>
    <row r="197" spans="1:5" x14ac:dyDescent="0.25">
      <c r="A197" s="271" t="s">
        <v>1499</v>
      </c>
      <c r="B197" s="191"/>
      <c r="C197" s="202" t="s">
        <v>678</v>
      </c>
      <c r="D197" s="202" t="s">
        <v>620</v>
      </c>
      <c r="E197" s="187">
        <v>26990</v>
      </c>
    </row>
    <row r="198" spans="1:5" x14ac:dyDescent="0.25">
      <c r="A198" s="245" t="s">
        <v>1623</v>
      </c>
      <c r="B198" s="191" t="s">
        <v>1624</v>
      </c>
      <c r="C198" s="191" t="s">
        <v>1625</v>
      </c>
      <c r="D198" s="191" t="s">
        <v>1613</v>
      </c>
      <c r="E198" s="29">
        <v>26990</v>
      </c>
    </row>
    <row r="199" spans="1:5" ht="15" customHeight="1" x14ac:dyDescent="0.25">
      <c r="A199" s="271" t="s">
        <v>1491</v>
      </c>
      <c r="B199" s="191" t="s">
        <v>1598</v>
      </c>
      <c r="C199" s="202" t="s">
        <v>678</v>
      </c>
      <c r="D199" s="202" t="s">
        <v>1034</v>
      </c>
      <c r="E199" s="187">
        <v>26990</v>
      </c>
    </row>
    <row r="200" spans="1:5" ht="15" customHeight="1" x14ac:dyDescent="0.25">
      <c r="A200" s="275" t="s">
        <v>1599</v>
      </c>
      <c r="B200" s="191" t="s">
        <v>1600</v>
      </c>
      <c r="C200" s="202" t="s">
        <v>678</v>
      </c>
      <c r="D200" s="202" t="s">
        <v>1034</v>
      </c>
      <c r="E200" s="187">
        <v>26990</v>
      </c>
    </row>
    <row r="201" spans="1:5" ht="15" customHeight="1" x14ac:dyDescent="0.25">
      <c r="A201" s="275" t="s">
        <v>1551</v>
      </c>
      <c r="B201" s="191" t="s">
        <v>1564</v>
      </c>
      <c r="C201" s="202" t="s">
        <v>678</v>
      </c>
      <c r="D201" s="202" t="s">
        <v>1563</v>
      </c>
      <c r="E201" s="187">
        <v>25991</v>
      </c>
    </row>
    <row r="202" spans="1:5" x14ac:dyDescent="0.25">
      <c r="A202" s="249" t="s">
        <v>1586</v>
      </c>
      <c r="B202" s="191" t="s">
        <v>1587</v>
      </c>
      <c r="C202" s="191" t="s">
        <v>678</v>
      </c>
      <c r="D202" s="191" t="s">
        <v>1034</v>
      </c>
      <c r="E202" s="29">
        <v>26990</v>
      </c>
    </row>
    <row r="203" spans="1:5" x14ac:dyDescent="0.25">
      <c r="A203" s="249" t="s">
        <v>1585</v>
      </c>
      <c r="B203" s="191" t="s">
        <v>1588</v>
      </c>
      <c r="C203" s="191" t="s">
        <v>678</v>
      </c>
      <c r="D203" s="191" t="s">
        <v>1034</v>
      </c>
      <c r="E203" s="29">
        <v>26990</v>
      </c>
    </row>
    <row r="204" spans="1:5" x14ac:dyDescent="0.25">
      <c r="A204" s="249" t="s">
        <v>1589</v>
      </c>
      <c r="B204" s="191" t="s">
        <v>1590</v>
      </c>
      <c r="C204" s="191" t="s">
        <v>678</v>
      </c>
      <c r="D204" s="191" t="s">
        <v>1034</v>
      </c>
      <c r="E204" s="29">
        <v>26990</v>
      </c>
    </row>
    <row r="205" spans="1:5" x14ac:dyDescent="0.25">
      <c r="A205" s="249" t="s">
        <v>1617</v>
      </c>
      <c r="B205" s="191" t="s">
        <v>1591</v>
      </c>
      <c r="C205" s="191" t="s">
        <v>678</v>
      </c>
      <c r="D205" s="191" t="s">
        <v>1034</v>
      </c>
      <c r="E205" s="29">
        <v>28990</v>
      </c>
    </row>
    <row r="206" spans="1:5" x14ac:dyDescent="0.25">
      <c r="A206" s="249" t="s">
        <v>1584</v>
      </c>
      <c r="B206" s="191"/>
      <c r="C206" s="191"/>
      <c r="D206" s="191"/>
      <c r="E206" s="29"/>
    </row>
    <row r="207" spans="1:5" x14ac:dyDescent="0.25">
      <c r="A207" s="249" t="s">
        <v>1618</v>
      </c>
      <c r="B207" s="191" t="s">
        <v>1609</v>
      </c>
      <c r="C207" s="191" t="s">
        <v>678</v>
      </c>
      <c r="D207" s="191" t="s">
        <v>682</v>
      </c>
      <c r="E207" s="29">
        <v>28990</v>
      </c>
    </row>
    <row r="208" spans="1:5" x14ac:dyDescent="0.25">
      <c r="A208" s="249" t="s">
        <v>1616</v>
      </c>
      <c r="B208" s="191" t="s">
        <v>1619</v>
      </c>
      <c r="C208" s="191" t="s">
        <v>678</v>
      </c>
      <c r="D208" s="191" t="s">
        <v>620</v>
      </c>
      <c r="E208" s="29">
        <v>26990</v>
      </c>
    </row>
    <row r="209" spans="1:5" ht="16.5" x14ac:dyDescent="0.2">
      <c r="A209" s="250" t="s">
        <v>1580</v>
      </c>
      <c r="B209" s="201" t="s">
        <v>1581</v>
      </c>
      <c r="C209" s="201" t="s">
        <v>678</v>
      </c>
      <c r="D209" s="201" t="s">
        <v>1034</v>
      </c>
      <c r="E209" s="29">
        <v>26990</v>
      </c>
    </row>
    <row r="210" spans="1:5" ht="16.5" x14ac:dyDescent="0.2">
      <c r="A210" s="250"/>
      <c r="B210" s="201" t="s">
        <v>1579</v>
      </c>
      <c r="C210" s="201" t="s">
        <v>678</v>
      </c>
      <c r="D210" s="201" t="s">
        <v>620</v>
      </c>
      <c r="E210" s="29">
        <v>23990</v>
      </c>
    </row>
    <row r="211" spans="1:5" x14ac:dyDescent="0.25">
      <c r="A211" s="249" t="s">
        <v>1638</v>
      </c>
      <c r="B211" s="191" t="s">
        <v>1639</v>
      </c>
      <c r="C211" s="191" t="s">
        <v>1640</v>
      </c>
      <c r="D211" s="191" t="s">
        <v>1641</v>
      </c>
      <c r="E211" s="29"/>
    </row>
    <row r="212" spans="1:5" x14ac:dyDescent="0.25">
      <c r="A212" s="249" t="s">
        <v>1642</v>
      </c>
      <c r="B212" s="191" t="s">
        <v>1643</v>
      </c>
      <c r="C212" s="191" t="s">
        <v>1640</v>
      </c>
      <c r="D212" s="191" t="s">
        <v>1641</v>
      </c>
      <c r="E212" s="29"/>
    </row>
    <row r="213" spans="1:5" x14ac:dyDescent="0.25">
      <c r="A213" s="249" t="s">
        <v>1646</v>
      </c>
      <c r="B213" s="191" t="s">
        <v>1645</v>
      </c>
      <c r="C213" s="191"/>
      <c r="D213" s="191"/>
      <c r="E213" s="29"/>
    </row>
    <row r="214" spans="1:5" x14ac:dyDescent="0.25">
      <c r="A214" s="249" t="s">
        <v>1647</v>
      </c>
      <c r="B214" s="191" t="s">
        <v>1644</v>
      </c>
      <c r="C214" s="191"/>
      <c r="D214" s="191"/>
      <c r="E214" s="29"/>
    </row>
    <row r="215" spans="1:5" x14ac:dyDescent="0.25">
      <c r="A215" s="249" t="s">
        <v>1650</v>
      </c>
      <c r="B215" s="191" t="s">
        <v>1648</v>
      </c>
      <c r="C215" s="191"/>
      <c r="D215" s="191"/>
      <c r="E215" s="29"/>
    </row>
    <row r="216" spans="1:5" x14ac:dyDescent="0.25">
      <c r="A216" s="249" t="s">
        <v>1651</v>
      </c>
      <c r="B216" s="191" t="s">
        <v>1649</v>
      </c>
      <c r="C216" s="191"/>
      <c r="D216" s="191"/>
      <c r="E216" s="29"/>
    </row>
    <row r="217" spans="1:5" x14ac:dyDescent="0.25">
      <c r="A217" s="249">
        <v>4074</v>
      </c>
      <c r="B217" s="191" t="s">
        <v>1652</v>
      </c>
      <c r="C217" s="191" t="s">
        <v>1653</v>
      </c>
      <c r="D217" s="191"/>
      <c r="E217" s="29"/>
    </row>
    <row r="218" spans="1:5" x14ac:dyDescent="0.2">
      <c r="A218" s="235">
        <v>4101</v>
      </c>
      <c r="B218" s="222" t="s">
        <v>1687</v>
      </c>
      <c r="C218" s="222" t="s">
        <v>1685</v>
      </c>
      <c r="D218" s="223" t="s">
        <v>1686</v>
      </c>
      <c r="E218" s="226">
        <v>20990</v>
      </c>
    </row>
    <row r="219" spans="1:5" ht="15.75" customHeight="1" x14ac:dyDescent="0.25">
      <c r="A219" s="249" t="s">
        <v>1760</v>
      </c>
      <c r="B219" s="191" t="s">
        <v>1761</v>
      </c>
      <c r="C219" s="191" t="s">
        <v>1625</v>
      </c>
      <c r="D219" s="191" t="s">
        <v>1658</v>
      </c>
      <c r="E219" s="29">
        <v>26990</v>
      </c>
    </row>
    <row r="220" spans="1:5" ht="15.75" customHeight="1" x14ac:dyDescent="0.2">
      <c r="A220" s="250" t="s">
        <v>1677</v>
      </c>
      <c r="B220" s="279" t="s">
        <v>1678</v>
      </c>
      <c r="C220" s="279" t="s">
        <v>1625</v>
      </c>
      <c r="D220" s="279" t="s">
        <v>1655</v>
      </c>
      <c r="E220" s="241">
        <v>25990</v>
      </c>
    </row>
    <row r="221" spans="1:5" x14ac:dyDescent="0.25">
      <c r="A221" s="249" t="s">
        <v>1758</v>
      </c>
      <c r="B221" s="191" t="s">
        <v>1759</v>
      </c>
      <c r="C221" s="191" t="s">
        <v>1625</v>
      </c>
      <c r="D221" s="191" t="s">
        <v>1613</v>
      </c>
      <c r="E221" s="29">
        <v>26990</v>
      </c>
    </row>
    <row r="222" spans="1:5" ht="15.75" customHeight="1" x14ac:dyDescent="0.2">
      <c r="A222" s="250" t="s">
        <v>1738</v>
      </c>
      <c r="B222" s="279" t="s">
        <v>1739</v>
      </c>
      <c r="C222" s="279" t="s">
        <v>1656</v>
      </c>
      <c r="D222" s="279" t="s">
        <v>1664</v>
      </c>
      <c r="E222" s="241">
        <v>25990</v>
      </c>
    </row>
    <row r="223" spans="1:5" ht="15.75" customHeight="1" x14ac:dyDescent="0.2">
      <c r="A223" s="250" t="s">
        <v>1680</v>
      </c>
      <c r="B223" s="279" t="s">
        <v>1668</v>
      </c>
      <c r="C223" s="279" t="s">
        <v>1656</v>
      </c>
      <c r="D223" s="279" t="s">
        <v>1664</v>
      </c>
      <c r="E223" s="241">
        <v>27990</v>
      </c>
    </row>
    <row r="224" spans="1:5" ht="15.75" customHeight="1" x14ac:dyDescent="0.2">
      <c r="A224" s="250" t="s">
        <v>1702</v>
      </c>
      <c r="B224" s="279" t="s">
        <v>1703</v>
      </c>
      <c r="C224" s="279" t="s">
        <v>1656</v>
      </c>
      <c r="D224" s="279" t="s">
        <v>1664</v>
      </c>
      <c r="E224" s="241">
        <v>25990</v>
      </c>
    </row>
    <row r="225" spans="1:5" ht="15.75" customHeight="1" x14ac:dyDescent="0.2">
      <c r="A225" s="250" t="s">
        <v>1705</v>
      </c>
      <c r="B225" s="279" t="s">
        <v>1706</v>
      </c>
      <c r="C225" s="279" t="s">
        <v>1625</v>
      </c>
      <c r="D225" s="279" t="s">
        <v>1661</v>
      </c>
      <c r="E225" s="241">
        <v>27990</v>
      </c>
    </row>
    <row r="226" spans="1:5" ht="15.75" customHeight="1" x14ac:dyDescent="0.2">
      <c r="A226" s="250" t="s">
        <v>1721</v>
      </c>
      <c r="B226" s="280" t="s">
        <v>1722</v>
      </c>
      <c r="C226" s="280" t="s">
        <v>1625</v>
      </c>
      <c r="D226" s="280" t="s">
        <v>1661</v>
      </c>
      <c r="E226" s="29">
        <v>26990</v>
      </c>
    </row>
    <row r="227" spans="1:5" ht="15.75" customHeight="1" x14ac:dyDescent="0.2">
      <c r="A227" s="250" t="s">
        <v>1720</v>
      </c>
      <c r="B227" s="280" t="s">
        <v>1719</v>
      </c>
      <c r="C227" s="280" t="s">
        <v>1625</v>
      </c>
      <c r="D227" s="280" t="s">
        <v>1664</v>
      </c>
      <c r="E227" s="29">
        <v>25990</v>
      </c>
    </row>
    <row r="228" spans="1:5" ht="15.75" customHeight="1" x14ac:dyDescent="0.2">
      <c r="A228" s="250" t="s">
        <v>1665</v>
      </c>
      <c r="B228" s="279" t="s">
        <v>1700</v>
      </c>
      <c r="C228" s="279" t="s">
        <v>1625</v>
      </c>
      <c r="D228" s="279" t="s">
        <v>1613</v>
      </c>
      <c r="E228" s="241">
        <v>25990</v>
      </c>
    </row>
    <row r="229" spans="1:5" ht="15.75" customHeight="1" x14ac:dyDescent="0.2">
      <c r="A229" s="250" t="s">
        <v>1725</v>
      </c>
      <c r="B229" s="280" t="s">
        <v>1726</v>
      </c>
      <c r="C229" s="280" t="s">
        <v>1625</v>
      </c>
      <c r="D229" s="280" t="s">
        <v>1664</v>
      </c>
      <c r="E229" s="29">
        <v>25990</v>
      </c>
    </row>
    <row r="230" spans="1:5" ht="15.75" customHeight="1" x14ac:dyDescent="0.2">
      <c r="A230" s="250" t="s">
        <v>1695</v>
      </c>
      <c r="B230" s="279" t="s">
        <v>1696</v>
      </c>
      <c r="C230" s="279" t="s">
        <v>1625</v>
      </c>
      <c r="D230" s="279" t="s">
        <v>1664</v>
      </c>
      <c r="E230" s="241">
        <v>26990</v>
      </c>
    </row>
    <row r="231" spans="1:5" ht="15.75" customHeight="1" x14ac:dyDescent="0.2">
      <c r="A231" s="250" t="s">
        <v>1695</v>
      </c>
      <c r="B231" s="280" t="s">
        <v>1719</v>
      </c>
      <c r="C231" s="280" t="s">
        <v>1625</v>
      </c>
      <c r="D231" s="280" t="s">
        <v>1664</v>
      </c>
      <c r="E231" s="29">
        <v>26990</v>
      </c>
    </row>
    <row r="232" spans="1:5" ht="15.75" customHeight="1" x14ac:dyDescent="0.2">
      <c r="A232" s="250" t="s">
        <v>1697</v>
      </c>
      <c r="B232" s="279" t="s">
        <v>1698</v>
      </c>
      <c r="C232" s="279" t="s">
        <v>1625</v>
      </c>
      <c r="D232" s="279" t="s">
        <v>1661</v>
      </c>
      <c r="E232" s="241">
        <v>27990</v>
      </c>
    </row>
    <row r="233" spans="1:5" ht="15.75" customHeight="1" x14ac:dyDescent="0.2">
      <c r="A233" s="250" t="s">
        <v>1674</v>
      </c>
      <c r="B233" s="279" t="s">
        <v>1675</v>
      </c>
      <c r="C233" s="279" t="s">
        <v>1625</v>
      </c>
      <c r="D233" s="279" t="s">
        <v>1661</v>
      </c>
      <c r="E233" s="241">
        <v>24990</v>
      </c>
    </row>
    <row r="234" spans="1:5" ht="15.75" customHeight="1" x14ac:dyDescent="0.2">
      <c r="A234" s="250" t="s">
        <v>1734</v>
      </c>
      <c r="B234" s="279" t="s">
        <v>1676</v>
      </c>
      <c r="C234" s="279" t="s">
        <v>1625</v>
      </c>
      <c r="D234" s="279" t="s">
        <v>1661</v>
      </c>
      <c r="E234" s="241">
        <v>24990</v>
      </c>
    </row>
    <row r="235" spans="1:5" ht="15.75" customHeight="1" x14ac:dyDescent="0.2">
      <c r="A235" s="250" t="s">
        <v>1718</v>
      </c>
      <c r="B235" s="280" t="s">
        <v>1731</v>
      </c>
      <c r="C235" s="280" t="s">
        <v>1625</v>
      </c>
      <c r="D235" s="280" t="s">
        <v>1613</v>
      </c>
      <c r="E235" s="29">
        <v>25990</v>
      </c>
    </row>
    <row r="236" spans="1:5" ht="15.75" customHeight="1" x14ac:dyDescent="0.2">
      <c r="A236" s="250" t="s">
        <v>1669</v>
      </c>
      <c r="B236" s="279" t="s">
        <v>1670</v>
      </c>
      <c r="C236" s="279" t="s">
        <v>1625</v>
      </c>
      <c r="D236" s="279" t="s">
        <v>1613</v>
      </c>
      <c r="E236" s="241">
        <v>25990</v>
      </c>
    </row>
    <row r="237" spans="1:5" ht="15.75" customHeight="1" x14ac:dyDescent="0.2">
      <c r="A237" s="250" t="s">
        <v>1669</v>
      </c>
      <c r="B237" s="280" t="s">
        <v>1717</v>
      </c>
      <c r="C237" s="280" t="s">
        <v>1625</v>
      </c>
      <c r="D237" s="280" t="s">
        <v>1613</v>
      </c>
      <c r="E237" s="29">
        <v>25990</v>
      </c>
    </row>
    <row r="238" spans="1:5" ht="15.75" customHeight="1" x14ac:dyDescent="0.2">
      <c r="A238" s="250" t="s">
        <v>1716</v>
      </c>
      <c r="B238" s="280" t="s">
        <v>1711</v>
      </c>
      <c r="C238" s="280" t="s">
        <v>1625</v>
      </c>
      <c r="D238" s="280" t="s">
        <v>1661</v>
      </c>
      <c r="E238" s="29">
        <v>24990</v>
      </c>
    </row>
    <row r="239" spans="1:5" ht="15.75" customHeight="1" x14ac:dyDescent="0.2">
      <c r="A239" s="250" t="s">
        <v>1671</v>
      </c>
      <c r="B239" s="279" t="s">
        <v>1672</v>
      </c>
      <c r="C239" s="279" t="s">
        <v>1625</v>
      </c>
      <c r="D239" s="279" t="s">
        <v>1661</v>
      </c>
      <c r="E239" s="241">
        <v>24990</v>
      </c>
    </row>
    <row r="240" spans="1:5" ht="15.75" customHeight="1" x14ac:dyDescent="0.2">
      <c r="A240" s="250" t="s">
        <v>1694</v>
      </c>
      <c r="B240" s="279" t="s">
        <v>1704</v>
      </c>
      <c r="C240" s="279">
        <v>0</v>
      </c>
      <c r="D240" s="279">
        <v>0</v>
      </c>
      <c r="E240" s="241">
        <v>21990</v>
      </c>
    </row>
    <row r="241" spans="1:5" ht="15.75" customHeight="1" x14ac:dyDescent="0.2">
      <c r="A241" s="250" t="s">
        <v>1689</v>
      </c>
      <c r="B241" s="279" t="s">
        <v>1690</v>
      </c>
      <c r="C241" s="279">
        <v>0</v>
      </c>
      <c r="D241" s="279">
        <v>0</v>
      </c>
      <c r="E241" s="241">
        <v>23990</v>
      </c>
    </row>
    <row r="242" spans="1:5" x14ac:dyDescent="0.2">
      <c r="A242" s="235">
        <v>4106</v>
      </c>
      <c r="B242" s="237" t="s">
        <v>1732</v>
      </c>
      <c r="C242" s="237" t="s">
        <v>1625</v>
      </c>
      <c r="D242" s="238" t="s">
        <v>1034</v>
      </c>
      <c r="E242" s="240">
        <v>26990</v>
      </c>
    </row>
    <row r="243" spans="1:5" x14ac:dyDescent="0.2">
      <c r="A243" s="235">
        <v>4108</v>
      </c>
      <c r="B243" s="222" t="s">
        <v>1662</v>
      </c>
      <c r="C243" s="222" t="s">
        <v>1625</v>
      </c>
      <c r="D243" s="223" t="s">
        <v>1658</v>
      </c>
      <c r="E243" s="226">
        <v>26990</v>
      </c>
    </row>
    <row r="244" spans="1:5" x14ac:dyDescent="0.2">
      <c r="A244" s="235">
        <v>4108</v>
      </c>
      <c r="B244" s="237" t="s">
        <v>1729</v>
      </c>
      <c r="C244" s="237" t="s">
        <v>1728</v>
      </c>
      <c r="D244" s="238" t="s">
        <v>1034</v>
      </c>
      <c r="E244" s="240">
        <v>26990</v>
      </c>
    </row>
    <row r="245" spans="1:5" x14ac:dyDescent="0.2">
      <c r="A245" s="235">
        <v>4109</v>
      </c>
      <c r="B245" s="222" t="s">
        <v>1657</v>
      </c>
      <c r="C245" s="222" t="s">
        <v>1625</v>
      </c>
      <c r="D245" s="223" t="s">
        <v>1658</v>
      </c>
      <c r="E245" s="226">
        <v>26990</v>
      </c>
    </row>
    <row r="246" spans="1:5" x14ac:dyDescent="0.2">
      <c r="A246" s="235">
        <v>4109</v>
      </c>
      <c r="B246" s="237" t="s">
        <v>1733</v>
      </c>
      <c r="C246" s="237" t="s">
        <v>1625</v>
      </c>
      <c r="D246" s="238" t="s">
        <v>1707</v>
      </c>
      <c r="E246" s="240">
        <v>26990</v>
      </c>
    </row>
    <row r="247" spans="1:5" x14ac:dyDescent="0.2">
      <c r="A247" s="235">
        <v>4110</v>
      </c>
      <c r="B247" s="237" t="s">
        <v>1708</v>
      </c>
      <c r="C247" s="237" t="s">
        <v>1625</v>
      </c>
      <c r="D247" s="238" t="s">
        <v>1655</v>
      </c>
      <c r="E247" s="240">
        <v>25990</v>
      </c>
    </row>
    <row r="248" spans="1:5" x14ac:dyDescent="0.2">
      <c r="A248" s="235">
        <v>4113</v>
      </c>
      <c r="B248" s="222" t="s">
        <v>1673</v>
      </c>
      <c r="C248" s="222" t="s">
        <v>1625</v>
      </c>
      <c r="D248" s="223" t="s">
        <v>1613</v>
      </c>
      <c r="E248" s="226">
        <v>25990</v>
      </c>
    </row>
    <row r="249" spans="1:5" x14ac:dyDescent="0.2">
      <c r="A249" s="235">
        <v>4113</v>
      </c>
      <c r="B249" s="237" t="s">
        <v>1710</v>
      </c>
      <c r="C249" s="237" t="s">
        <v>1656</v>
      </c>
      <c r="D249" s="238" t="s">
        <v>1709</v>
      </c>
      <c r="E249" s="240">
        <v>25990</v>
      </c>
    </row>
    <row r="250" spans="1:5" x14ac:dyDescent="0.2">
      <c r="A250" s="235">
        <v>4116</v>
      </c>
      <c r="B250" s="243" t="s">
        <v>1745</v>
      </c>
      <c r="C250" s="222" t="s">
        <v>1679</v>
      </c>
      <c r="D250" s="223" t="s">
        <v>1746</v>
      </c>
      <c r="E250" s="226">
        <v>26990</v>
      </c>
    </row>
    <row r="251" spans="1:5" x14ac:dyDescent="0.2">
      <c r="A251" s="235">
        <v>4119</v>
      </c>
      <c r="B251" s="222" t="s">
        <v>1688</v>
      </c>
      <c r="C251" s="222">
        <v>0</v>
      </c>
      <c r="D251" s="223">
        <v>0</v>
      </c>
      <c r="E251" s="226">
        <v>21990</v>
      </c>
    </row>
    <row r="252" spans="1:5" x14ac:dyDescent="0.2">
      <c r="A252" s="235">
        <v>4120</v>
      </c>
      <c r="B252" s="222" t="s">
        <v>1681</v>
      </c>
      <c r="C252" s="222" t="s">
        <v>1682</v>
      </c>
      <c r="D252" s="223" t="s">
        <v>1683</v>
      </c>
      <c r="E252" s="226">
        <v>20990</v>
      </c>
    </row>
    <row r="253" spans="1:5" x14ac:dyDescent="0.2">
      <c r="A253" s="235">
        <v>4121</v>
      </c>
      <c r="B253" s="222" t="s">
        <v>1663</v>
      </c>
      <c r="C253" s="222" t="s">
        <v>1625</v>
      </c>
      <c r="D253" s="223" t="s">
        <v>1661</v>
      </c>
      <c r="E253" s="226">
        <v>24990</v>
      </c>
    </row>
    <row r="254" spans="1:5" x14ac:dyDescent="0.2">
      <c r="A254" s="235">
        <v>4122</v>
      </c>
      <c r="B254" s="222" t="s">
        <v>1654</v>
      </c>
      <c r="C254" s="222" t="s">
        <v>1625</v>
      </c>
      <c r="D254" s="223" t="s">
        <v>1655</v>
      </c>
      <c r="E254" s="226">
        <v>25990</v>
      </c>
    </row>
    <row r="255" spans="1:5" x14ac:dyDescent="0.2">
      <c r="A255" s="235">
        <v>4123</v>
      </c>
      <c r="B255" s="222" t="s">
        <v>1684</v>
      </c>
      <c r="C255" s="222" t="s">
        <v>1685</v>
      </c>
      <c r="D255" s="223" t="s">
        <v>1686</v>
      </c>
      <c r="E255" s="226">
        <v>20990</v>
      </c>
    </row>
    <row r="256" spans="1:5" x14ac:dyDescent="0.2">
      <c r="A256" s="235" t="s">
        <v>1744</v>
      </c>
      <c r="B256" s="237" t="s">
        <v>1743</v>
      </c>
      <c r="C256" s="237" t="s">
        <v>1625</v>
      </c>
      <c r="D256" s="238" t="s">
        <v>1655</v>
      </c>
      <c r="E256" s="240">
        <v>25990</v>
      </c>
    </row>
    <row r="257" spans="1:17" x14ac:dyDescent="0.2">
      <c r="A257" s="235">
        <v>4128</v>
      </c>
      <c r="B257" s="222" t="s">
        <v>1666</v>
      </c>
      <c r="C257" s="222" t="s">
        <v>1625</v>
      </c>
      <c r="D257" s="223" t="s">
        <v>1661</v>
      </c>
      <c r="E257" s="226">
        <v>24990</v>
      </c>
    </row>
    <row r="258" spans="1:17" x14ac:dyDescent="0.2">
      <c r="A258" s="235">
        <v>4130</v>
      </c>
      <c r="B258" s="243" t="s">
        <v>1741</v>
      </c>
      <c r="C258" s="222" t="s">
        <v>1625</v>
      </c>
      <c r="D258" s="223" t="s">
        <v>1661</v>
      </c>
      <c r="E258" s="226">
        <v>24990</v>
      </c>
    </row>
    <row r="259" spans="1:17" x14ac:dyDescent="0.2">
      <c r="A259" s="235">
        <v>4135</v>
      </c>
      <c r="B259" s="237" t="s">
        <v>1737</v>
      </c>
      <c r="C259" s="237" t="s">
        <v>1656</v>
      </c>
      <c r="D259" s="238" t="s">
        <v>1664</v>
      </c>
      <c r="E259" s="240">
        <v>25990</v>
      </c>
    </row>
    <row r="260" spans="1:17" x14ac:dyDescent="0.2">
      <c r="A260" s="235">
        <v>4136</v>
      </c>
      <c r="B260" s="243" t="s">
        <v>1736</v>
      </c>
      <c r="C260" s="222" t="s">
        <v>1656</v>
      </c>
      <c r="D260" s="223" t="s">
        <v>1659</v>
      </c>
      <c r="E260" s="226">
        <v>24990</v>
      </c>
    </row>
    <row r="261" spans="1:17" x14ac:dyDescent="0.2">
      <c r="A261" s="235">
        <v>4137</v>
      </c>
      <c r="B261" s="243" t="s">
        <v>1742</v>
      </c>
      <c r="C261" s="222" t="s">
        <v>1625</v>
      </c>
      <c r="D261" s="223" t="s">
        <v>1661</v>
      </c>
      <c r="E261" s="226">
        <v>25990</v>
      </c>
    </row>
    <row r="262" spans="1:17" x14ac:dyDescent="0.2">
      <c r="A262" s="235">
        <v>4149</v>
      </c>
      <c r="B262" s="237" t="s">
        <v>1715</v>
      </c>
      <c r="C262" s="237" t="s">
        <v>1713</v>
      </c>
      <c r="D262" s="238" t="s">
        <v>1714</v>
      </c>
      <c r="E262" s="240">
        <v>24990</v>
      </c>
    </row>
    <row r="263" spans="1:17" x14ac:dyDescent="0.2">
      <c r="A263" s="235">
        <v>4153</v>
      </c>
      <c r="B263" s="222" t="s">
        <v>1693</v>
      </c>
      <c r="C263" s="222">
        <v>0</v>
      </c>
      <c r="D263" s="223">
        <v>0</v>
      </c>
      <c r="E263" s="226">
        <v>21990</v>
      </c>
    </row>
    <row r="264" spans="1:17" x14ac:dyDescent="0.2">
      <c r="A264" s="235" t="s">
        <v>1748</v>
      </c>
      <c r="B264" s="237" t="s">
        <v>1747</v>
      </c>
      <c r="C264" s="237" t="s">
        <v>1656</v>
      </c>
      <c r="D264" s="238" t="s">
        <v>1667</v>
      </c>
      <c r="E264" s="240">
        <v>25990</v>
      </c>
    </row>
    <row r="265" spans="1:17" x14ac:dyDescent="0.2">
      <c r="A265" s="235" t="s">
        <v>1749</v>
      </c>
      <c r="B265" s="237" t="s">
        <v>1750</v>
      </c>
      <c r="C265" s="237" t="s">
        <v>1656</v>
      </c>
      <c r="D265" s="238" t="s">
        <v>1667</v>
      </c>
      <c r="E265" s="240">
        <v>25990</v>
      </c>
    </row>
    <row r="266" spans="1:17" x14ac:dyDescent="0.2">
      <c r="A266" s="235">
        <v>4158</v>
      </c>
      <c r="B266" s="222" t="s">
        <v>1701</v>
      </c>
      <c r="C266" s="222" t="s">
        <v>1625</v>
      </c>
      <c r="D266" s="223" t="s">
        <v>1655</v>
      </c>
      <c r="E266" s="226">
        <v>25990</v>
      </c>
    </row>
    <row r="267" spans="1:17" x14ac:dyDescent="0.2">
      <c r="A267" s="235">
        <v>4160</v>
      </c>
      <c r="B267" s="237" t="s">
        <v>1727</v>
      </c>
      <c r="C267" s="237" t="s">
        <v>1625</v>
      </c>
      <c r="D267" s="238" t="s">
        <v>1658</v>
      </c>
      <c r="E267" s="240">
        <v>26990</v>
      </c>
    </row>
    <row r="268" spans="1:17" x14ac:dyDescent="0.2">
      <c r="A268" s="235">
        <v>4165</v>
      </c>
      <c r="B268" s="222" t="s">
        <v>1735</v>
      </c>
      <c r="C268" s="222" t="s">
        <v>1679</v>
      </c>
      <c r="D268" s="223" t="s">
        <v>1661</v>
      </c>
      <c r="E268" s="226">
        <v>24990</v>
      </c>
    </row>
    <row r="269" spans="1:17" x14ac:dyDescent="0.2">
      <c r="A269" s="235">
        <v>4166</v>
      </c>
      <c r="B269" s="222" t="s">
        <v>1660</v>
      </c>
      <c r="C269" s="222" t="s">
        <v>1625</v>
      </c>
      <c r="D269" s="223" t="s">
        <v>1661</v>
      </c>
      <c r="E269" s="226">
        <v>24990</v>
      </c>
    </row>
    <row r="270" spans="1:17" x14ac:dyDescent="0.2">
      <c r="A270" s="235">
        <v>4166</v>
      </c>
      <c r="B270" s="237" t="s">
        <v>1712</v>
      </c>
      <c r="C270" s="237" t="s">
        <v>1625</v>
      </c>
      <c r="D270" s="238" t="s">
        <v>1664</v>
      </c>
      <c r="E270" s="242">
        <v>24990</v>
      </c>
      <c r="J270" s="230"/>
      <c r="K270" s="230"/>
      <c r="L270" s="230"/>
      <c r="M270" s="230"/>
      <c r="N270" s="230"/>
      <c r="O270" s="230"/>
      <c r="P270" s="228"/>
      <c r="Q270" s="228"/>
    </row>
    <row r="271" spans="1:17" ht="16.5" thickBot="1" x14ac:dyDescent="0.25">
      <c r="A271" s="233">
        <v>4168</v>
      </c>
      <c r="B271" s="236" t="s">
        <v>1740</v>
      </c>
      <c r="C271" s="236" t="s">
        <v>1625</v>
      </c>
      <c r="D271" s="239" t="s">
        <v>1664</v>
      </c>
      <c r="E271" s="241">
        <v>24990</v>
      </c>
      <c r="J271" s="230"/>
      <c r="K271" s="231"/>
      <c r="L271" s="232"/>
      <c r="M271" s="232"/>
      <c r="N271" s="232"/>
      <c r="O271" s="232"/>
      <c r="P271" s="228"/>
      <c r="Q271" s="228"/>
    </row>
    <row r="272" spans="1:17" ht="16.5" thickBot="1" x14ac:dyDescent="0.25">
      <c r="A272" s="233">
        <v>4168</v>
      </c>
      <c r="B272" s="229"/>
      <c r="C272" s="229"/>
      <c r="D272" s="234" t="s">
        <v>1664</v>
      </c>
      <c r="E272" s="29">
        <v>24990</v>
      </c>
      <c r="J272" s="230"/>
      <c r="K272" s="231"/>
      <c r="L272" s="232"/>
      <c r="M272" s="232"/>
      <c r="N272" s="232"/>
      <c r="O272" s="232"/>
      <c r="P272" s="228"/>
      <c r="Q272" s="228"/>
    </row>
    <row r="273" spans="1:17" ht="16.5" thickBot="1" x14ac:dyDescent="0.25">
      <c r="A273" s="233">
        <v>4176</v>
      </c>
      <c r="B273" s="236" t="s">
        <v>1666</v>
      </c>
      <c r="C273" s="236" t="s">
        <v>1625</v>
      </c>
      <c r="D273" s="239" t="s">
        <v>1667</v>
      </c>
      <c r="E273" s="241">
        <v>24990</v>
      </c>
      <c r="J273" s="230"/>
      <c r="K273" s="231"/>
      <c r="L273" s="232"/>
      <c r="M273" s="232"/>
      <c r="N273" s="232"/>
      <c r="O273" s="232"/>
      <c r="P273" s="228"/>
      <c r="Q273" s="228"/>
    </row>
    <row r="274" spans="1:17" ht="16.5" thickBot="1" x14ac:dyDescent="0.25">
      <c r="A274" s="233">
        <v>4176</v>
      </c>
      <c r="B274" s="229" t="s">
        <v>1730</v>
      </c>
      <c r="C274" s="229" t="s">
        <v>1625</v>
      </c>
      <c r="D274" s="234" t="s">
        <v>1667</v>
      </c>
      <c r="E274" s="29">
        <v>24990</v>
      </c>
      <c r="J274" s="230"/>
      <c r="K274" s="231"/>
      <c r="L274" s="232"/>
      <c r="M274" s="232"/>
      <c r="N274" s="232"/>
      <c r="O274" s="232"/>
      <c r="P274" s="228"/>
      <c r="Q274" s="228"/>
    </row>
    <row r="275" spans="1:17" ht="16.5" thickBot="1" x14ac:dyDescent="0.25">
      <c r="A275" s="233">
        <v>4177</v>
      </c>
      <c r="B275" s="229" t="s">
        <v>1722</v>
      </c>
      <c r="C275" s="229" t="s">
        <v>1625</v>
      </c>
      <c r="D275" s="234" t="s">
        <v>1613</v>
      </c>
      <c r="E275" s="29">
        <v>25990</v>
      </c>
      <c r="J275" s="230"/>
      <c r="K275" s="231"/>
      <c r="L275" s="232"/>
      <c r="M275" s="232"/>
      <c r="N275" s="232"/>
      <c r="O275" s="232"/>
      <c r="P275" s="228"/>
      <c r="Q275" s="228"/>
    </row>
    <row r="276" spans="1:17" ht="16.5" thickBot="1" x14ac:dyDescent="0.25">
      <c r="A276" s="233">
        <v>4178</v>
      </c>
      <c r="B276" s="229" t="s">
        <v>1723</v>
      </c>
      <c r="C276" s="229" t="s">
        <v>1625</v>
      </c>
      <c r="D276" s="234" t="s">
        <v>1667</v>
      </c>
      <c r="E276" s="29">
        <v>24990</v>
      </c>
      <c r="J276" s="230"/>
      <c r="K276" s="231"/>
      <c r="L276" s="232"/>
      <c r="M276" s="232"/>
      <c r="N276" s="232"/>
      <c r="O276" s="232"/>
      <c r="P276" s="228"/>
      <c r="Q276" s="228"/>
    </row>
    <row r="277" spans="1:17" ht="16.5" thickBot="1" x14ac:dyDescent="0.25">
      <c r="A277" s="233">
        <v>4179</v>
      </c>
      <c r="B277" s="229" t="s">
        <v>1724</v>
      </c>
      <c r="C277" s="229" t="s">
        <v>1724</v>
      </c>
      <c r="D277" s="234"/>
      <c r="E277" s="29">
        <v>21990</v>
      </c>
      <c r="J277" s="230"/>
      <c r="K277" s="231"/>
      <c r="L277" s="232"/>
      <c r="M277" s="232"/>
      <c r="N277" s="232"/>
      <c r="O277" s="232"/>
      <c r="P277" s="228"/>
      <c r="Q277" s="228"/>
    </row>
    <row r="278" spans="1:17" ht="16.5" thickBot="1" x14ac:dyDescent="0.25">
      <c r="A278" s="233">
        <v>4183</v>
      </c>
      <c r="B278" s="236" t="s">
        <v>1691</v>
      </c>
      <c r="C278" s="236" t="s">
        <v>1692</v>
      </c>
      <c r="D278" s="239">
        <v>0</v>
      </c>
      <c r="E278" s="241">
        <v>21990</v>
      </c>
      <c r="J278" s="230"/>
      <c r="K278" s="231"/>
      <c r="L278" s="232"/>
      <c r="M278" s="232"/>
      <c r="N278" s="232"/>
      <c r="O278" s="232"/>
      <c r="P278" s="228"/>
      <c r="Q278" s="228"/>
    </row>
    <row r="279" spans="1:17" ht="16.5" thickBot="1" x14ac:dyDescent="0.25">
      <c r="A279" s="281">
        <v>4185</v>
      </c>
      <c r="B279" s="282" t="s">
        <v>1699</v>
      </c>
      <c r="C279" s="282" t="s">
        <v>1625</v>
      </c>
      <c r="D279" s="283" t="s">
        <v>1613</v>
      </c>
      <c r="E279" s="284">
        <v>25990</v>
      </c>
      <c r="J279" s="230"/>
      <c r="K279" s="231"/>
      <c r="L279" s="232"/>
      <c r="M279" s="232"/>
      <c r="N279" s="232"/>
      <c r="O279" s="232"/>
      <c r="P279" s="228"/>
      <c r="Q279" s="228"/>
    </row>
    <row r="280" spans="1:17" ht="16.5" customHeight="1" thickBot="1" x14ac:dyDescent="0.3">
      <c r="A280" s="276"/>
      <c r="B280" s="291" t="s">
        <v>1791</v>
      </c>
      <c r="C280" s="277"/>
      <c r="D280" s="278"/>
      <c r="E280" s="29"/>
      <c r="J280" s="230"/>
      <c r="K280" s="231"/>
      <c r="L280" s="232"/>
      <c r="M280" s="232"/>
      <c r="N280" s="232"/>
      <c r="O280" s="232"/>
      <c r="P280" s="228"/>
      <c r="Q280" s="228"/>
    </row>
    <row r="281" spans="1:17" ht="16.5" customHeight="1" thickBot="1" x14ac:dyDescent="0.25">
      <c r="A281" s="292" t="s">
        <v>1792</v>
      </c>
      <c r="B281" s="290" t="s">
        <v>1833</v>
      </c>
      <c r="C281" s="290" t="s">
        <v>1625</v>
      </c>
      <c r="D281" s="290" t="s">
        <v>1661</v>
      </c>
      <c r="E281" s="295">
        <v>24990</v>
      </c>
      <c r="J281" s="230"/>
      <c r="K281" s="231"/>
      <c r="L281" s="232"/>
      <c r="M281" s="232"/>
      <c r="N281" s="232"/>
      <c r="O281" s="232"/>
      <c r="P281" s="228"/>
      <c r="Q281" s="228"/>
    </row>
    <row r="282" spans="1:17" ht="16.5" customHeight="1" thickBot="1" x14ac:dyDescent="0.25">
      <c r="A282" s="293" t="s">
        <v>1751</v>
      </c>
      <c r="B282" s="290" t="s">
        <v>1834</v>
      </c>
      <c r="C282" s="294" t="s">
        <v>1625</v>
      </c>
      <c r="D282" s="294" t="s">
        <v>1661</v>
      </c>
      <c r="E282" s="296">
        <v>26990</v>
      </c>
      <c r="J282" s="230"/>
      <c r="K282" s="231"/>
      <c r="L282" s="232"/>
      <c r="M282" s="232"/>
      <c r="N282" s="232"/>
      <c r="O282" s="232"/>
      <c r="P282" s="228"/>
      <c r="Q282" s="228"/>
    </row>
    <row r="283" spans="1:17" ht="16.5" customHeight="1" thickBot="1" x14ac:dyDescent="0.25">
      <c r="A283" s="293" t="s">
        <v>1793</v>
      </c>
      <c r="B283" s="290" t="s">
        <v>1835</v>
      </c>
      <c r="C283" s="294" t="s">
        <v>1625</v>
      </c>
      <c r="D283" s="294" t="s">
        <v>1661</v>
      </c>
      <c r="E283" s="296">
        <v>24990</v>
      </c>
      <c r="J283" s="230"/>
      <c r="K283" s="231"/>
      <c r="L283" s="232"/>
      <c r="M283" s="232"/>
      <c r="N283" s="232"/>
      <c r="O283" s="232"/>
      <c r="P283" s="228"/>
      <c r="Q283" s="228"/>
    </row>
    <row r="284" spans="1:17" ht="16.5" customHeight="1" thickBot="1" x14ac:dyDescent="0.25">
      <c r="A284" s="293" t="s">
        <v>1771</v>
      </c>
      <c r="B284" s="290" t="s">
        <v>1836</v>
      </c>
      <c r="C284" s="294" t="s">
        <v>1625</v>
      </c>
      <c r="D284" s="294" t="s">
        <v>1667</v>
      </c>
      <c r="E284" s="296">
        <v>25990</v>
      </c>
      <c r="J284" s="230"/>
      <c r="K284" s="231"/>
      <c r="L284" s="232"/>
      <c r="M284" s="232"/>
      <c r="N284" s="232"/>
      <c r="O284" s="232"/>
      <c r="P284" s="228"/>
      <c r="Q284" s="228"/>
    </row>
    <row r="285" spans="1:17" ht="16.5" customHeight="1" thickBot="1" x14ac:dyDescent="0.25">
      <c r="A285" s="293" t="s">
        <v>1794</v>
      </c>
      <c r="B285" s="290" t="s">
        <v>2092</v>
      </c>
      <c r="C285" s="294" t="s">
        <v>1656</v>
      </c>
      <c r="D285" s="294" t="s">
        <v>1664</v>
      </c>
      <c r="E285" s="296">
        <v>24990</v>
      </c>
      <c r="J285" s="230"/>
      <c r="K285" s="231"/>
      <c r="L285" s="232"/>
      <c r="M285" s="232"/>
      <c r="N285" s="232"/>
      <c r="O285" s="232"/>
      <c r="P285" s="228"/>
      <c r="Q285" s="228"/>
    </row>
    <row r="286" spans="1:17" ht="16.5" customHeight="1" thickBot="1" x14ac:dyDescent="0.25">
      <c r="A286" s="293" t="s">
        <v>1776</v>
      </c>
      <c r="B286" s="290" t="s">
        <v>2091</v>
      </c>
      <c r="C286" s="294" t="s">
        <v>1656</v>
      </c>
      <c r="D286" s="294" t="s">
        <v>1664</v>
      </c>
      <c r="E286" s="296">
        <v>24990</v>
      </c>
      <c r="J286" s="230"/>
      <c r="K286" s="231"/>
      <c r="L286" s="232"/>
      <c r="M286" s="232"/>
      <c r="N286" s="232"/>
      <c r="O286" s="232"/>
      <c r="P286" s="228"/>
      <c r="Q286" s="228"/>
    </row>
    <row r="287" spans="1:17" ht="16.5" customHeight="1" thickBot="1" x14ac:dyDescent="0.25">
      <c r="A287" s="293" t="s">
        <v>1757</v>
      </c>
      <c r="B287" s="290" t="s">
        <v>1837</v>
      </c>
      <c r="C287" s="294" t="s">
        <v>1795</v>
      </c>
      <c r="D287" s="294" t="s">
        <v>1613</v>
      </c>
      <c r="E287" s="296">
        <v>25990</v>
      </c>
      <c r="J287" s="230"/>
      <c r="K287" s="231"/>
      <c r="L287" s="232"/>
      <c r="M287" s="232"/>
      <c r="N287" s="232"/>
      <c r="O287" s="232"/>
      <c r="P287" s="228"/>
      <c r="Q287" s="228"/>
    </row>
    <row r="288" spans="1:17" ht="16.5" customHeight="1" thickBot="1" x14ac:dyDescent="0.25">
      <c r="A288" s="293" t="s">
        <v>1796</v>
      </c>
      <c r="B288" s="290" t="s">
        <v>2090</v>
      </c>
      <c r="C288" s="294" t="s">
        <v>1795</v>
      </c>
      <c r="D288" s="294" t="s">
        <v>1613</v>
      </c>
      <c r="E288" s="296">
        <v>25990</v>
      </c>
      <c r="J288" s="230"/>
      <c r="K288" s="231"/>
      <c r="L288" s="232"/>
      <c r="M288" s="232"/>
      <c r="N288" s="232"/>
      <c r="O288" s="232"/>
      <c r="P288" s="228"/>
      <c r="Q288" s="228"/>
    </row>
    <row r="289" spans="1:17" ht="16.5" customHeight="1" thickBot="1" x14ac:dyDescent="0.25">
      <c r="A289" s="293" t="s">
        <v>1787</v>
      </c>
      <c r="B289" s="290" t="s">
        <v>1838</v>
      </c>
      <c r="C289" s="294" t="s">
        <v>1795</v>
      </c>
      <c r="D289" s="294" t="s">
        <v>1613</v>
      </c>
      <c r="E289" s="296">
        <v>25990</v>
      </c>
      <c r="J289" s="230"/>
      <c r="K289" s="231"/>
      <c r="L289" s="232"/>
      <c r="M289" s="232"/>
      <c r="N289" s="232"/>
      <c r="O289" s="232"/>
      <c r="P289" s="228"/>
      <c r="Q289" s="228"/>
    </row>
    <row r="290" spans="1:17" ht="16.5" customHeight="1" thickBot="1" x14ac:dyDescent="0.25">
      <c r="A290" s="293" t="s">
        <v>1789</v>
      </c>
      <c r="B290" s="290" t="s">
        <v>1839</v>
      </c>
      <c r="C290" s="294" t="s">
        <v>1656</v>
      </c>
      <c r="D290" s="294" t="s">
        <v>1655</v>
      </c>
      <c r="E290" s="296">
        <v>25990</v>
      </c>
      <c r="J290" s="230"/>
      <c r="K290" s="231"/>
      <c r="L290" s="232"/>
      <c r="M290" s="232"/>
      <c r="N290" s="232"/>
      <c r="O290" s="232"/>
      <c r="P290" s="228"/>
      <c r="Q290" s="228"/>
    </row>
    <row r="291" spans="1:17" ht="16.5" customHeight="1" thickBot="1" x14ac:dyDescent="0.25">
      <c r="A291" s="293" t="s">
        <v>1756</v>
      </c>
      <c r="B291" s="290" t="s">
        <v>1840</v>
      </c>
      <c r="C291" s="294" t="s">
        <v>1656</v>
      </c>
      <c r="D291" s="294" t="s">
        <v>1655</v>
      </c>
      <c r="E291" s="296">
        <v>25990</v>
      </c>
      <c r="J291" s="230"/>
      <c r="K291" s="231"/>
      <c r="L291" s="232"/>
      <c r="M291" s="232"/>
      <c r="N291" s="232"/>
      <c r="O291" s="232"/>
      <c r="P291" s="228"/>
      <c r="Q291" s="228"/>
    </row>
    <row r="292" spans="1:17" ht="16.5" customHeight="1" thickBot="1" x14ac:dyDescent="0.25">
      <c r="A292" s="293" t="s">
        <v>1797</v>
      </c>
      <c r="B292" s="290" t="s">
        <v>1841</v>
      </c>
      <c r="C292" s="294" t="s">
        <v>1625</v>
      </c>
      <c r="D292" s="294" t="s">
        <v>1661</v>
      </c>
      <c r="E292" s="296">
        <v>24990</v>
      </c>
      <c r="J292" s="230"/>
      <c r="K292" s="231"/>
      <c r="L292" s="232"/>
      <c r="M292" s="232"/>
      <c r="N292" s="232"/>
      <c r="O292" s="232"/>
      <c r="P292" s="228"/>
      <c r="Q292" s="228"/>
    </row>
    <row r="293" spans="1:17" ht="16.5" customHeight="1" thickBot="1" x14ac:dyDescent="0.25">
      <c r="A293" s="293" t="s">
        <v>1798</v>
      </c>
      <c r="B293" s="290" t="s">
        <v>2095</v>
      </c>
      <c r="C293" s="294" t="s">
        <v>1625</v>
      </c>
      <c r="D293" s="294" t="s">
        <v>1613</v>
      </c>
      <c r="E293" s="296">
        <v>25990</v>
      </c>
      <c r="J293" s="230"/>
      <c r="K293" s="231"/>
      <c r="L293" s="232"/>
      <c r="M293" s="232"/>
      <c r="N293" s="232"/>
      <c r="O293" s="232"/>
      <c r="P293" s="228"/>
      <c r="Q293" s="228"/>
    </row>
    <row r="294" spans="1:17" ht="16.5" customHeight="1" thickBot="1" x14ac:dyDescent="0.25">
      <c r="A294" s="293" t="s">
        <v>2096</v>
      </c>
      <c r="B294" s="290" t="s">
        <v>2116</v>
      </c>
      <c r="C294" s="294" t="s">
        <v>1625</v>
      </c>
      <c r="D294" s="294" t="s">
        <v>1613</v>
      </c>
      <c r="E294" s="296">
        <v>25990</v>
      </c>
      <c r="J294" s="230"/>
      <c r="K294" s="231"/>
      <c r="L294" s="232"/>
      <c r="M294" s="232"/>
      <c r="N294" s="232"/>
      <c r="O294" s="232"/>
      <c r="P294" s="228"/>
      <c r="Q294" s="228"/>
    </row>
    <row r="295" spans="1:17" ht="16.5" customHeight="1" thickBot="1" x14ac:dyDescent="0.25">
      <c r="A295" s="293" t="s">
        <v>2114</v>
      </c>
      <c r="B295" s="290" t="s">
        <v>2097</v>
      </c>
      <c r="C295" s="294" t="s">
        <v>1625</v>
      </c>
      <c r="D295" s="294" t="s">
        <v>1613</v>
      </c>
      <c r="E295" s="296">
        <v>25990</v>
      </c>
      <c r="J295" s="230"/>
      <c r="K295" s="231"/>
      <c r="L295" s="232"/>
      <c r="M295" s="232"/>
      <c r="N295" s="232"/>
      <c r="O295" s="232"/>
      <c r="P295" s="228"/>
      <c r="Q295" s="228"/>
    </row>
    <row r="296" spans="1:17" ht="16.5" customHeight="1" thickBot="1" x14ac:dyDescent="0.25">
      <c r="A296" s="293" t="s">
        <v>1763</v>
      </c>
      <c r="B296" s="290" t="s">
        <v>1842</v>
      </c>
      <c r="C296" s="294" t="s">
        <v>1656</v>
      </c>
      <c r="D296" s="294" t="s">
        <v>1661</v>
      </c>
      <c r="E296" s="296">
        <v>24990</v>
      </c>
      <c r="J296" s="230"/>
      <c r="K296" s="231"/>
      <c r="L296" s="232"/>
      <c r="M296" s="232"/>
      <c r="N296" s="232"/>
      <c r="O296" s="232"/>
      <c r="P296" s="228"/>
      <c r="Q296" s="228"/>
    </row>
    <row r="297" spans="1:17" ht="16.5" customHeight="1" thickBot="1" x14ac:dyDescent="0.25">
      <c r="A297" s="293" t="s">
        <v>1799</v>
      </c>
      <c r="B297" s="290" t="s">
        <v>1843</v>
      </c>
      <c r="C297" s="294" t="s">
        <v>1656</v>
      </c>
      <c r="D297" s="294" t="s">
        <v>1655</v>
      </c>
      <c r="E297" s="296">
        <v>25990</v>
      </c>
      <c r="J297" s="230"/>
      <c r="K297" s="231"/>
      <c r="L297" s="232"/>
      <c r="M297" s="232"/>
      <c r="N297" s="232"/>
      <c r="O297" s="232"/>
      <c r="P297" s="228"/>
      <c r="Q297" s="228"/>
    </row>
    <row r="298" spans="1:17" ht="16.5" customHeight="1" thickBot="1" x14ac:dyDescent="0.25">
      <c r="A298" s="293" t="s">
        <v>1752</v>
      </c>
      <c r="B298" s="290" t="s">
        <v>1844</v>
      </c>
      <c r="C298" s="294" t="s">
        <v>1656</v>
      </c>
      <c r="D298" s="294" t="s">
        <v>1655</v>
      </c>
      <c r="E298" s="296">
        <v>25990</v>
      </c>
      <c r="J298" s="230"/>
      <c r="K298" s="231"/>
      <c r="L298" s="232"/>
      <c r="M298" s="232"/>
      <c r="N298" s="232"/>
      <c r="O298" s="232"/>
      <c r="P298" s="228"/>
      <c r="Q298" s="228"/>
    </row>
    <row r="299" spans="1:17" ht="16.5" customHeight="1" thickBot="1" x14ac:dyDescent="0.25">
      <c r="A299" s="293" t="s">
        <v>1788</v>
      </c>
      <c r="B299" s="290" t="s">
        <v>1845</v>
      </c>
      <c r="C299" s="294" t="s">
        <v>1625</v>
      </c>
      <c r="D299" s="294" t="s">
        <v>1613</v>
      </c>
      <c r="E299" s="296">
        <v>25990</v>
      </c>
      <c r="J299" s="230"/>
      <c r="K299" s="231"/>
      <c r="L299" s="232"/>
      <c r="M299" s="232"/>
      <c r="N299" s="232"/>
      <c r="O299" s="232"/>
      <c r="P299" s="228"/>
      <c r="Q299" s="228"/>
    </row>
    <row r="300" spans="1:17" ht="16.5" customHeight="1" thickBot="1" x14ac:dyDescent="0.25">
      <c r="A300" s="293" t="s">
        <v>1755</v>
      </c>
      <c r="B300" s="290" t="s">
        <v>1846</v>
      </c>
      <c r="C300" s="294" t="s">
        <v>1625</v>
      </c>
      <c r="D300" s="294" t="s">
        <v>1613</v>
      </c>
      <c r="E300" s="296">
        <v>25990</v>
      </c>
      <c r="J300" s="230"/>
      <c r="K300" s="231"/>
      <c r="L300" s="232"/>
      <c r="M300" s="232"/>
      <c r="N300" s="232"/>
      <c r="O300" s="232"/>
      <c r="P300" s="228"/>
      <c r="Q300" s="228"/>
    </row>
    <row r="301" spans="1:17" ht="15.75" customHeight="1" thickBot="1" x14ac:dyDescent="0.25">
      <c r="A301" s="293" t="s">
        <v>1800</v>
      </c>
      <c r="B301" s="290" t="s">
        <v>2094</v>
      </c>
      <c r="C301" s="294" t="s">
        <v>1625</v>
      </c>
      <c r="D301" s="294" t="s">
        <v>1655</v>
      </c>
      <c r="E301" s="296">
        <v>25990</v>
      </c>
      <c r="J301" s="230"/>
      <c r="K301" s="231"/>
      <c r="L301" s="232"/>
      <c r="M301" s="232"/>
      <c r="N301" s="232"/>
      <c r="O301" s="232"/>
      <c r="P301" s="227"/>
      <c r="Q301" s="227"/>
    </row>
    <row r="302" spans="1:17" ht="15.75" customHeight="1" thickBot="1" x14ac:dyDescent="0.25">
      <c r="A302" s="293" t="s">
        <v>1790</v>
      </c>
      <c r="B302" s="290" t="s">
        <v>2093</v>
      </c>
      <c r="C302" s="294" t="s">
        <v>1622</v>
      </c>
      <c r="D302" s="294" t="s">
        <v>1655</v>
      </c>
      <c r="E302" s="296">
        <v>25990</v>
      </c>
    </row>
    <row r="303" spans="1:17" ht="15.75" customHeight="1" thickBot="1" x14ac:dyDescent="0.25">
      <c r="A303" s="293" t="s">
        <v>1770</v>
      </c>
      <c r="B303" s="290" t="s">
        <v>1847</v>
      </c>
      <c r="C303" s="294" t="s">
        <v>1622</v>
      </c>
      <c r="D303" s="294" t="s">
        <v>1655</v>
      </c>
      <c r="E303" s="296">
        <v>25990</v>
      </c>
    </row>
    <row r="304" spans="1:17" ht="15.75" customHeight="1" thickBot="1" x14ac:dyDescent="0.25">
      <c r="A304" s="293" t="s">
        <v>1801</v>
      </c>
      <c r="B304" s="290" t="s">
        <v>1848</v>
      </c>
      <c r="C304" s="294" t="s">
        <v>1622</v>
      </c>
      <c r="D304" s="294" t="s">
        <v>1655</v>
      </c>
      <c r="E304" s="296">
        <v>25990</v>
      </c>
    </row>
    <row r="305" spans="1:5" ht="15.75" customHeight="1" thickBot="1" x14ac:dyDescent="0.25">
      <c r="A305" s="293" t="s">
        <v>1769</v>
      </c>
      <c r="B305" s="297" t="s">
        <v>1849</v>
      </c>
      <c r="C305" s="294" t="s">
        <v>1622</v>
      </c>
      <c r="D305" s="294" t="s">
        <v>1655</v>
      </c>
      <c r="E305" s="296">
        <v>27990</v>
      </c>
    </row>
    <row r="306" spans="1:5" ht="15.75" customHeight="1" thickBot="1" x14ac:dyDescent="0.25">
      <c r="A306" s="293" t="s">
        <v>1802</v>
      </c>
      <c r="B306" s="297" t="s">
        <v>2098</v>
      </c>
      <c r="C306" s="294" t="s">
        <v>1622</v>
      </c>
      <c r="D306" s="294" t="s">
        <v>1655</v>
      </c>
      <c r="E306" s="296">
        <v>25990</v>
      </c>
    </row>
    <row r="307" spans="1:5" ht="15.75" customHeight="1" thickBot="1" x14ac:dyDescent="0.25">
      <c r="A307" s="293" t="s">
        <v>1803</v>
      </c>
      <c r="B307" s="290" t="s">
        <v>2099</v>
      </c>
      <c r="C307" s="294" t="s">
        <v>1625</v>
      </c>
      <c r="D307" s="294" t="s">
        <v>1661</v>
      </c>
      <c r="E307" s="296">
        <v>24990</v>
      </c>
    </row>
    <row r="308" spans="1:5" ht="15.75" customHeight="1" thickBot="1" x14ac:dyDescent="0.25">
      <c r="A308" s="293" t="s">
        <v>1804</v>
      </c>
      <c r="B308" s="290" t="s">
        <v>1850</v>
      </c>
      <c r="C308" s="294" t="s">
        <v>1622</v>
      </c>
      <c r="D308" s="294" t="s">
        <v>1613</v>
      </c>
      <c r="E308" s="296">
        <v>25990</v>
      </c>
    </row>
    <row r="309" spans="1:5" ht="15.75" customHeight="1" thickBot="1" x14ac:dyDescent="0.25">
      <c r="A309" s="293" t="s">
        <v>1753</v>
      </c>
      <c r="B309" s="290" t="s">
        <v>1851</v>
      </c>
      <c r="C309" s="294" t="s">
        <v>1625</v>
      </c>
      <c r="D309" s="294" t="s">
        <v>1613</v>
      </c>
      <c r="E309" s="296">
        <v>25990</v>
      </c>
    </row>
    <row r="310" spans="1:5" ht="16.5" thickBot="1" x14ac:dyDescent="0.25">
      <c r="A310" s="293" t="s">
        <v>1754</v>
      </c>
      <c r="B310" s="290" t="s">
        <v>1852</v>
      </c>
      <c r="C310" s="294" t="s">
        <v>1625</v>
      </c>
      <c r="D310" s="294" t="s">
        <v>1613</v>
      </c>
      <c r="E310" s="296">
        <v>25990</v>
      </c>
    </row>
    <row r="311" spans="1:5" ht="15.75" customHeight="1" thickBot="1" x14ac:dyDescent="0.25">
      <c r="A311" s="293" t="s">
        <v>2115</v>
      </c>
      <c r="B311" s="290" t="s">
        <v>1853</v>
      </c>
      <c r="C311" s="294" t="s">
        <v>1625</v>
      </c>
      <c r="D311" s="294" t="s">
        <v>1661</v>
      </c>
      <c r="E311" s="296">
        <v>24990</v>
      </c>
    </row>
    <row r="312" spans="1:5" ht="15.75" customHeight="1" thickBot="1" x14ac:dyDescent="0.25">
      <c r="A312" s="293" t="s">
        <v>1805</v>
      </c>
      <c r="B312" s="290" t="s">
        <v>1853</v>
      </c>
      <c r="C312" s="294" t="s">
        <v>1625</v>
      </c>
      <c r="D312" s="294" t="s">
        <v>1661</v>
      </c>
      <c r="E312" s="296">
        <v>24990</v>
      </c>
    </row>
    <row r="313" spans="1:5" ht="15.75" customHeight="1" thickBot="1" x14ac:dyDescent="0.25">
      <c r="A313" s="293" t="s">
        <v>1777</v>
      </c>
      <c r="B313" s="290" t="s">
        <v>1854</v>
      </c>
      <c r="C313" s="294" t="s">
        <v>1625</v>
      </c>
      <c r="D313" s="294" t="s">
        <v>1661</v>
      </c>
      <c r="E313" s="296">
        <v>24990</v>
      </c>
    </row>
    <row r="314" spans="1:5" ht="15.75" customHeight="1" thickBot="1" x14ac:dyDescent="0.25">
      <c r="A314" s="293" t="s">
        <v>1806</v>
      </c>
      <c r="B314" s="290" t="s">
        <v>1855</v>
      </c>
      <c r="C314" s="294" t="s">
        <v>1625</v>
      </c>
      <c r="D314" s="294" t="s">
        <v>1661</v>
      </c>
      <c r="E314" s="296">
        <v>24990</v>
      </c>
    </row>
    <row r="315" spans="1:5" ht="15.75" customHeight="1" thickBot="1" x14ac:dyDescent="0.25">
      <c r="A315" s="293" t="s">
        <v>1807</v>
      </c>
      <c r="B315" s="290" t="s">
        <v>1856</v>
      </c>
      <c r="C315" s="294" t="s">
        <v>1625</v>
      </c>
      <c r="D315" s="294" t="s">
        <v>1664</v>
      </c>
      <c r="E315" s="296">
        <v>24990</v>
      </c>
    </row>
    <row r="316" spans="1:5" ht="15.75" customHeight="1" thickBot="1" x14ac:dyDescent="0.25">
      <c r="A316" s="293" t="s">
        <v>1808</v>
      </c>
      <c r="B316" s="290" t="s">
        <v>1857</v>
      </c>
      <c r="C316" s="294" t="s">
        <v>1625</v>
      </c>
      <c r="D316" s="294" t="s">
        <v>1664</v>
      </c>
      <c r="E316" s="296">
        <v>24990</v>
      </c>
    </row>
    <row r="317" spans="1:5" ht="15.75" customHeight="1" thickBot="1" x14ac:dyDescent="0.25">
      <c r="A317" s="293" t="s">
        <v>1762</v>
      </c>
      <c r="B317" s="290" t="s">
        <v>1858</v>
      </c>
      <c r="C317" s="294" t="s">
        <v>1625</v>
      </c>
      <c r="D317" s="294" t="s">
        <v>1664</v>
      </c>
      <c r="E317" s="296">
        <v>27990</v>
      </c>
    </row>
    <row r="318" spans="1:5" ht="15.75" customHeight="1" thickBot="1" x14ac:dyDescent="0.25">
      <c r="A318" s="293" t="s">
        <v>1809</v>
      </c>
      <c r="B318" s="290" t="s">
        <v>1859</v>
      </c>
      <c r="C318" s="294" t="s">
        <v>1679</v>
      </c>
      <c r="D318" s="294" t="s">
        <v>1661</v>
      </c>
      <c r="E318" s="296">
        <v>24990</v>
      </c>
    </row>
    <row r="319" spans="1:5" ht="15.75" customHeight="1" thickBot="1" x14ac:dyDescent="0.25">
      <c r="A319" s="293">
        <v>4223</v>
      </c>
      <c r="B319" s="290" t="s">
        <v>1860</v>
      </c>
      <c r="C319" s="294" t="s">
        <v>1622</v>
      </c>
      <c r="D319" s="294" t="s">
        <v>1613</v>
      </c>
      <c r="E319" s="296">
        <v>25990</v>
      </c>
    </row>
    <row r="320" spans="1:5" ht="15.75" customHeight="1" thickBot="1" x14ac:dyDescent="0.25">
      <c r="A320" s="293" t="s">
        <v>1810</v>
      </c>
      <c r="B320" s="290" t="s">
        <v>2083</v>
      </c>
      <c r="C320" s="294" t="s">
        <v>1656</v>
      </c>
      <c r="D320" s="294" t="s">
        <v>1655</v>
      </c>
      <c r="E320" s="296">
        <v>25990</v>
      </c>
    </row>
    <row r="321" spans="1:5" ht="15.75" customHeight="1" thickBot="1" x14ac:dyDescent="0.25">
      <c r="A321" s="293" t="s">
        <v>1811</v>
      </c>
      <c r="B321" s="290" t="s">
        <v>2084</v>
      </c>
      <c r="C321" s="294" t="s">
        <v>1656</v>
      </c>
      <c r="D321" s="294" t="s">
        <v>1655</v>
      </c>
      <c r="E321" s="296">
        <v>25990</v>
      </c>
    </row>
    <row r="322" spans="1:5" ht="15.75" customHeight="1" thickBot="1" x14ac:dyDescent="0.25">
      <c r="A322" s="293" t="s">
        <v>2109</v>
      </c>
      <c r="B322" s="290" t="s">
        <v>1861</v>
      </c>
      <c r="C322" s="294" t="s">
        <v>1622</v>
      </c>
      <c r="D322" s="294" t="s">
        <v>1613</v>
      </c>
      <c r="E322" s="296">
        <v>25990</v>
      </c>
    </row>
    <row r="323" spans="1:5" ht="15.75" customHeight="1" thickBot="1" x14ac:dyDescent="0.25">
      <c r="A323" s="293" t="s">
        <v>2108</v>
      </c>
      <c r="B323" s="290" t="s">
        <v>2110</v>
      </c>
      <c r="C323" s="294" t="s">
        <v>1622</v>
      </c>
      <c r="D323" s="294" t="s">
        <v>1613</v>
      </c>
      <c r="E323" s="296">
        <v>25990</v>
      </c>
    </row>
    <row r="324" spans="1:5" ht="15.75" customHeight="1" thickBot="1" x14ac:dyDescent="0.25">
      <c r="A324" s="293">
        <v>4226</v>
      </c>
      <c r="B324" s="297" t="s">
        <v>1862</v>
      </c>
      <c r="C324" s="294" t="s">
        <v>1656</v>
      </c>
      <c r="D324" s="294" t="s">
        <v>1661</v>
      </c>
      <c r="E324" s="296">
        <v>24990</v>
      </c>
    </row>
    <row r="325" spans="1:5" ht="15.75" customHeight="1" thickBot="1" x14ac:dyDescent="0.25">
      <c r="A325" s="293" t="s">
        <v>2117</v>
      </c>
      <c r="B325" s="297" t="s">
        <v>2118</v>
      </c>
      <c r="C325" s="294" t="s">
        <v>1656</v>
      </c>
      <c r="D325" s="294" t="s">
        <v>1661</v>
      </c>
      <c r="E325" s="296">
        <v>24990</v>
      </c>
    </row>
    <row r="326" spans="1:5" ht="15.75" customHeight="1" thickBot="1" x14ac:dyDescent="0.25">
      <c r="A326" s="293" t="s">
        <v>1812</v>
      </c>
      <c r="B326" s="290" t="s">
        <v>1863</v>
      </c>
      <c r="C326" s="294" t="s">
        <v>1625</v>
      </c>
      <c r="D326" s="294" t="s">
        <v>1813</v>
      </c>
      <c r="E326" s="296">
        <v>24990</v>
      </c>
    </row>
    <row r="327" spans="1:5" ht="15.75" customHeight="1" thickBot="1" x14ac:dyDescent="0.25">
      <c r="A327" s="293" t="s">
        <v>1814</v>
      </c>
      <c r="B327" s="290" t="s">
        <v>1864</v>
      </c>
      <c r="C327" s="294" t="s">
        <v>1625</v>
      </c>
      <c r="D327" s="294" t="s">
        <v>1813</v>
      </c>
      <c r="E327" s="296">
        <v>24990</v>
      </c>
    </row>
    <row r="328" spans="1:5" ht="15.75" customHeight="1" thickBot="1" x14ac:dyDescent="0.25">
      <c r="A328" s="293">
        <v>4228</v>
      </c>
      <c r="B328" s="290" t="s">
        <v>1865</v>
      </c>
      <c r="C328" s="294" t="s">
        <v>1795</v>
      </c>
      <c r="D328" s="294" t="s">
        <v>1613</v>
      </c>
      <c r="E328" s="296">
        <v>25990</v>
      </c>
    </row>
    <row r="329" spans="1:5" ht="15.75" customHeight="1" thickBot="1" x14ac:dyDescent="0.25">
      <c r="A329" s="293">
        <v>4229</v>
      </c>
      <c r="B329" s="290" t="s">
        <v>1866</v>
      </c>
      <c r="C329" s="294" t="s">
        <v>1622</v>
      </c>
      <c r="D329" s="294" t="s">
        <v>1661</v>
      </c>
      <c r="E329" s="296">
        <v>24990</v>
      </c>
    </row>
    <row r="330" spans="1:5" ht="15.75" customHeight="1" thickBot="1" x14ac:dyDescent="0.25">
      <c r="A330" s="293">
        <v>4230</v>
      </c>
      <c r="B330" s="290" t="s">
        <v>1867</v>
      </c>
      <c r="C330" s="294" t="s">
        <v>1622</v>
      </c>
      <c r="D330" s="294" t="s">
        <v>1658</v>
      </c>
      <c r="E330" s="296">
        <v>26990</v>
      </c>
    </row>
    <row r="331" spans="1:5" ht="15.75" customHeight="1" thickBot="1" x14ac:dyDescent="0.25">
      <c r="A331" s="293">
        <v>4232</v>
      </c>
      <c r="B331" s="290" t="s">
        <v>1868</v>
      </c>
      <c r="C331" s="294" t="s">
        <v>1622</v>
      </c>
      <c r="D331" s="294" t="s">
        <v>1655</v>
      </c>
      <c r="E331" s="296">
        <v>25990</v>
      </c>
    </row>
    <row r="332" spans="1:5" ht="15.75" customHeight="1" thickBot="1" x14ac:dyDescent="0.25">
      <c r="A332" s="293" t="s">
        <v>1783</v>
      </c>
      <c r="B332" s="290" t="s">
        <v>2100</v>
      </c>
      <c r="C332" s="294" t="s">
        <v>1622</v>
      </c>
      <c r="D332" s="294" t="s">
        <v>1664</v>
      </c>
      <c r="E332" s="296">
        <v>24990</v>
      </c>
    </row>
    <row r="333" spans="1:5" ht="15.75" customHeight="1" thickBot="1" x14ac:dyDescent="0.25">
      <c r="A333" s="293" t="s">
        <v>1815</v>
      </c>
      <c r="B333" s="290" t="s">
        <v>2101</v>
      </c>
      <c r="C333" s="294" t="s">
        <v>1622</v>
      </c>
      <c r="D333" s="294" t="s">
        <v>1664</v>
      </c>
      <c r="E333" s="296">
        <v>24990</v>
      </c>
    </row>
    <row r="334" spans="1:5" ht="15.75" customHeight="1" thickBot="1" x14ac:dyDescent="0.25">
      <c r="A334" s="293" t="s">
        <v>1784</v>
      </c>
      <c r="B334" s="290" t="s">
        <v>2102</v>
      </c>
      <c r="C334" s="294" t="s">
        <v>1622</v>
      </c>
      <c r="D334" s="294" t="s">
        <v>1664</v>
      </c>
      <c r="E334" s="296">
        <v>24990</v>
      </c>
    </row>
    <row r="335" spans="1:5" ht="15.75" customHeight="1" thickBot="1" x14ac:dyDescent="0.25">
      <c r="A335" s="293" t="s">
        <v>1785</v>
      </c>
      <c r="B335" s="290" t="s">
        <v>1871</v>
      </c>
      <c r="C335" s="294" t="s">
        <v>1622</v>
      </c>
      <c r="D335" s="294" t="s">
        <v>1664</v>
      </c>
      <c r="E335" s="296">
        <v>24990</v>
      </c>
    </row>
    <row r="336" spans="1:5" ht="15.75" customHeight="1" thickBot="1" x14ac:dyDescent="0.25">
      <c r="A336" s="293" t="s">
        <v>1786</v>
      </c>
      <c r="B336" s="290" t="s">
        <v>1872</v>
      </c>
      <c r="C336" s="294" t="s">
        <v>1622</v>
      </c>
      <c r="D336" s="294" t="s">
        <v>1664</v>
      </c>
      <c r="E336" s="296">
        <v>24990</v>
      </c>
    </row>
    <row r="337" spans="1:5" ht="15.75" customHeight="1" thickBot="1" x14ac:dyDescent="0.25">
      <c r="A337" s="293" t="s">
        <v>1816</v>
      </c>
      <c r="B337" s="301" t="s">
        <v>2103</v>
      </c>
      <c r="C337" s="294" t="s">
        <v>1622</v>
      </c>
      <c r="D337" s="294" t="s">
        <v>1613</v>
      </c>
      <c r="E337" s="296">
        <v>25990</v>
      </c>
    </row>
    <row r="338" spans="1:5" ht="15.75" customHeight="1" thickBot="1" x14ac:dyDescent="0.25">
      <c r="A338" s="293" t="s">
        <v>1781</v>
      </c>
      <c r="B338" s="290" t="s">
        <v>1869</v>
      </c>
      <c r="C338" s="294" t="s">
        <v>1622</v>
      </c>
      <c r="D338" s="294" t="s">
        <v>1613</v>
      </c>
      <c r="E338" s="296">
        <v>25990</v>
      </c>
    </row>
    <row r="339" spans="1:5" ht="15.75" customHeight="1" thickBot="1" x14ac:dyDescent="0.25">
      <c r="A339" s="293" t="s">
        <v>1779</v>
      </c>
      <c r="B339" s="290" t="s">
        <v>1870</v>
      </c>
      <c r="C339" s="294" t="s">
        <v>1622</v>
      </c>
      <c r="D339" s="294" t="s">
        <v>1613</v>
      </c>
      <c r="E339" s="296">
        <v>25990</v>
      </c>
    </row>
    <row r="340" spans="1:5" ht="16.5" thickBot="1" x14ac:dyDescent="0.25">
      <c r="A340" s="293" t="s">
        <v>1780</v>
      </c>
      <c r="B340" s="290" t="s">
        <v>1871</v>
      </c>
      <c r="C340" s="294" t="s">
        <v>1622</v>
      </c>
      <c r="D340" s="294" t="s">
        <v>1613</v>
      </c>
      <c r="E340" s="296">
        <v>25990</v>
      </c>
    </row>
    <row r="341" spans="1:5" ht="15.75" customHeight="1" thickBot="1" x14ac:dyDescent="0.25">
      <c r="A341" s="293" t="s">
        <v>1772</v>
      </c>
      <c r="B341" s="290" t="s">
        <v>1872</v>
      </c>
      <c r="C341" s="294" t="s">
        <v>1622</v>
      </c>
      <c r="D341" s="294" t="s">
        <v>1613</v>
      </c>
      <c r="E341" s="296">
        <v>25990</v>
      </c>
    </row>
    <row r="342" spans="1:5" ht="15.75" customHeight="1" thickBot="1" x14ac:dyDescent="0.25">
      <c r="A342" s="293" t="s">
        <v>1817</v>
      </c>
      <c r="B342" s="298" t="s">
        <v>1873</v>
      </c>
      <c r="C342" s="294" t="s">
        <v>1625</v>
      </c>
      <c r="D342" s="294" t="s">
        <v>1661</v>
      </c>
      <c r="E342" s="296">
        <v>24990</v>
      </c>
    </row>
    <row r="343" spans="1:5" ht="15.75" customHeight="1" thickBot="1" x14ac:dyDescent="0.25">
      <c r="A343" s="293" t="s">
        <v>2112</v>
      </c>
      <c r="B343" s="298" t="s">
        <v>2113</v>
      </c>
      <c r="C343" s="294" t="s">
        <v>1625</v>
      </c>
      <c r="D343" s="294" t="s">
        <v>1661</v>
      </c>
      <c r="E343" s="296">
        <v>24990</v>
      </c>
    </row>
    <row r="344" spans="1:5" ht="15.75" customHeight="1" thickBot="1" x14ac:dyDescent="0.25">
      <c r="A344" s="293" t="s">
        <v>1818</v>
      </c>
      <c r="B344" s="290" t="s">
        <v>1874</v>
      </c>
      <c r="C344" s="294" t="s">
        <v>1625</v>
      </c>
      <c r="D344" s="294" t="s">
        <v>1658</v>
      </c>
      <c r="E344" s="296">
        <v>26990</v>
      </c>
    </row>
    <row r="345" spans="1:5" ht="15.75" customHeight="1" thickBot="1" x14ac:dyDescent="0.25">
      <c r="A345" s="293" t="s">
        <v>1819</v>
      </c>
      <c r="B345" s="290" t="s">
        <v>1875</v>
      </c>
      <c r="C345" s="294" t="s">
        <v>1625</v>
      </c>
      <c r="D345" s="294" t="s">
        <v>1658</v>
      </c>
      <c r="E345" s="296">
        <v>26990</v>
      </c>
    </row>
    <row r="346" spans="1:5" ht="18" customHeight="1" thickBot="1" x14ac:dyDescent="0.25">
      <c r="A346" s="293" t="s">
        <v>1820</v>
      </c>
      <c r="B346" s="290" t="s">
        <v>1876</v>
      </c>
      <c r="C346" s="294" t="s">
        <v>1622</v>
      </c>
      <c r="D346" s="294" t="s">
        <v>1613</v>
      </c>
      <c r="E346" s="296">
        <v>25990</v>
      </c>
    </row>
    <row r="347" spans="1:5" ht="18" customHeight="1" thickBot="1" x14ac:dyDescent="0.25">
      <c r="A347" s="293" t="s">
        <v>1821</v>
      </c>
      <c r="B347" s="290" t="s">
        <v>1877</v>
      </c>
      <c r="C347" s="294" t="s">
        <v>1625</v>
      </c>
      <c r="D347" s="294" t="s">
        <v>1661</v>
      </c>
      <c r="E347" s="296">
        <v>24990</v>
      </c>
    </row>
    <row r="348" spans="1:5" ht="18" customHeight="1" thickBot="1" x14ac:dyDescent="0.25">
      <c r="A348" s="293" t="s">
        <v>1822</v>
      </c>
      <c r="B348" s="290" t="s">
        <v>1878</v>
      </c>
      <c r="C348" s="294" t="s">
        <v>1625</v>
      </c>
      <c r="D348" s="294" t="s">
        <v>1658</v>
      </c>
      <c r="E348" s="296">
        <v>26990</v>
      </c>
    </row>
    <row r="349" spans="1:5" ht="18" customHeight="1" thickBot="1" x14ac:dyDescent="0.25">
      <c r="A349" s="293" t="s">
        <v>1823</v>
      </c>
      <c r="B349" s="290" t="s">
        <v>1879</v>
      </c>
      <c r="C349" s="294" t="s">
        <v>1625</v>
      </c>
      <c r="D349" s="294" t="s">
        <v>1661</v>
      </c>
      <c r="E349" s="296">
        <v>24990</v>
      </c>
    </row>
    <row r="350" spans="1:5" ht="18" customHeight="1" thickBot="1" x14ac:dyDescent="0.25">
      <c r="A350" s="293" t="s">
        <v>2104</v>
      </c>
      <c r="B350" s="290" t="s">
        <v>2105</v>
      </c>
      <c r="C350" s="294" t="s">
        <v>1625</v>
      </c>
      <c r="D350" s="294" t="s">
        <v>1661</v>
      </c>
      <c r="E350" s="296">
        <v>24990</v>
      </c>
    </row>
    <row r="351" spans="1:5" ht="18" customHeight="1" thickBot="1" x14ac:dyDescent="0.25">
      <c r="A351" s="293" t="s">
        <v>1824</v>
      </c>
      <c r="B351" s="290" t="s">
        <v>1880</v>
      </c>
      <c r="C351" s="294" t="s">
        <v>1625</v>
      </c>
      <c r="D351" s="294" t="s">
        <v>1661</v>
      </c>
      <c r="E351" s="296">
        <v>24990</v>
      </c>
    </row>
    <row r="352" spans="1:5" ht="18" customHeight="1" thickBot="1" x14ac:dyDescent="0.25">
      <c r="A352" s="293" t="s">
        <v>1825</v>
      </c>
      <c r="B352" s="290" t="s">
        <v>2106</v>
      </c>
      <c r="C352" s="294" t="s">
        <v>1625</v>
      </c>
      <c r="D352" s="294" t="s">
        <v>1661</v>
      </c>
      <c r="E352" s="296">
        <v>24990</v>
      </c>
    </row>
    <row r="353" spans="1:5" ht="18" customHeight="1" thickBot="1" x14ac:dyDescent="0.25">
      <c r="A353" s="293" t="s">
        <v>1826</v>
      </c>
      <c r="B353" s="290" t="s">
        <v>1881</v>
      </c>
      <c r="C353" s="294" t="s">
        <v>1625</v>
      </c>
      <c r="D353" s="294" t="s">
        <v>1664</v>
      </c>
      <c r="E353" s="296">
        <v>24990</v>
      </c>
    </row>
    <row r="354" spans="1:5" ht="18" customHeight="1" thickBot="1" x14ac:dyDescent="0.25">
      <c r="A354" s="293" t="s">
        <v>1827</v>
      </c>
      <c r="B354" s="290" t="s">
        <v>1882</v>
      </c>
      <c r="C354" s="294" t="s">
        <v>1622</v>
      </c>
      <c r="D354" s="294" t="s">
        <v>1667</v>
      </c>
      <c r="E354" s="296">
        <v>25990</v>
      </c>
    </row>
    <row r="355" spans="1:5" ht="18" customHeight="1" thickBot="1" x14ac:dyDescent="0.25">
      <c r="A355" s="293" t="s">
        <v>1828</v>
      </c>
      <c r="B355" s="290" t="s">
        <v>1883</v>
      </c>
      <c r="C355" s="294" t="s">
        <v>1622</v>
      </c>
      <c r="D355" s="294" t="s">
        <v>1667</v>
      </c>
      <c r="E355" s="296">
        <v>25990</v>
      </c>
    </row>
    <row r="356" spans="1:5" ht="18" customHeight="1" thickBot="1" x14ac:dyDescent="0.25">
      <c r="A356" s="293" t="s">
        <v>1778</v>
      </c>
      <c r="B356" s="290" t="s">
        <v>1884</v>
      </c>
      <c r="C356" s="294" t="s">
        <v>1622</v>
      </c>
      <c r="D356" s="294" t="s">
        <v>1667</v>
      </c>
      <c r="E356" s="296">
        <v>25990</v>
      </c>
    </row>
    <row r="357" spans="1:5" ht="16.5" customHeight="1" thickBot="1" x14ac:dyDescent="0.25">
      <c r="A357" s="293" t="s">
        <v>1829</v>
      </c>
      <c r="B357" s="290" t="s">
        <v>1885</v>
      </c>
      <c r="C357" s="294" t="s">
        <v>1625</v>
      </c>
      <c r="D357" s="294" t="s">
        <v>1667</v>
      </c>
      <c r="E357" s="296">
        <v>27990</v>
      </c>
    </row>
    <row r="358" spans="1:5" ht="18" customHeight="1" thickBot="1" x14ac:dyDescent="0.25">
      <c r="A358" s="293" t="s">
        <v>1830</v>
      </c>
      <c r="B358" s="290" t="s">
        <v>1886</v>
      </c>
      <c r="C358" s="294" t="s">
        <v>1625</v>
      </c>
      <c r="D358" s="294" t="s">
        <v>1667</v>
      </c>
      <c r="E358" s="296">
        <v>27990</v>
      </c>
    </row>
    <row r="359" spans="1:5" ht="16.5" customHeight="1" thickBot="1" x14ac:dyDescent="0.25">
      <c r="A359" s="293" t="s">
        <v>1831</v>
      </c>
      <c r="B359" s="290" t="s">
        <v>2095</v>
      </c>
      <c r="C359" s="294" t="s">
        <v>1625</v>
      </c>
      <c r="D359" s="294" t="s">
        <v>1613</v>
      </c>
      <c r="E359" s="296">
        <v>25990</v>
      </c>
    </row>
    <row r="360" spans="1:5" ht="18" customHeight="1" thickBot="1" x14ac:dyDescent="0.25">
      <c r="A360" s="293" t="s">
        <v>1832</v>
      </c>
      <c r="B360" s="290" t="s">
        <v>1887</v>
      </c>
      <c r="C360" s="294" t="s">
        <v>1625</v>
      </c>
      <c r="D360" s="294" t="s">
        <v>1667</v>
      </c>
      <c r="E360" s="296">
        <v>25990</v>
      </c>
    </row>
    <row r="361" spans="1:5" ht="16.5" customHeight="1" thickBot="1" x14ac:dyDescent="0.25">
      <c r="A361" s="293">
        <v>4256</v>
      </c>
      <c r="B361" s="297" t="s">
        <v>1888</v>
      </c>
      <c r="C361" s="294" t="s">
        <v>1622</v>
      </c>
      <c r="D361" s="294" t="s">
        <v>1658</v>
      </c>
      <c r="E361" s="296">
        <v>25990</v>
      </c>
    </row>
    <row r="362" spans="1:5" ht="16.5" customHeight="1" thickBot="1" x14ac:dyDescent="0.25">
      <c r="A362" s="293" t="s">
        <v>2119</v>
      </c>
      <c r="B362" s="290" t="s">
        <v>2120</v>
      </c>
      <c r="C362" s="294" t="s">
        <v>1622</v>
      </c>
      <c r="D362" s="294" t="s">
        <v>1667</v>
      </c>
      <c r="E362" s="296">
        <v>25990</v>
      </c>
    </row>
    <row r="363" spans="1:5" ht="16.5" customHeight="1" thickBot="1" x14ac:dyDescent="0.25">
      <c r="A363" s="293" t="s">
        <v>1773</v>
      </c>
      <c r="B363" s="290" t="s">
        <v>2085</v>
      </c>
      <c r="C363" s="294" t="s">
        <v>1622</v>
      </c>
      <c r="D363" s="294" t="s">
        <v>1667</v>
      </c>
      <c r="E363" s="296">
        <v>25990</v>
      </c>
    </row>
    <row r="364" spans="1:5" ht="15.75" customHeight="1" thickBot="1" x14ac:dyDescent="0.25">
      <c r="A364" s="293" t="s">
        <v>1774</v>
      </c>
      <c r="B364" s="290" t="s">
        <v>2086</v>
      </c>
      <c r="C364" s="294" t="s">
        <v>1622</v>
      </c>
      <c r="D364" s="294" t="s">
        <v>1667</v>
      </c>
      <c r="E364" s="296">
        <v>25990</v>
      </c>
    </row>
    <row r="365" spans="1:5" ht="15.75" customHeight="1" thickBot="1" x14ac:dyDescent="0.25">
      <c r="A365" s="293" t="s">
        <v>1782</v>
      </c>
      <c r="B365" s="290" t="s">
        <v>2087</v>
      </c>
      <c r="C365" s="294" t="s">
        <v>1622</v>
      </c>
      <c r="D365" s="294" t="s">
        <v>1667</v>
      </c>
      <c r="E365" s="296">
        <v>25990</v>
      </c>
    </row>
    <row r="366" spans="1:5" ht="15.75" customHeight="1" thickBot="1" x14ac:dyDescent="0.25">
      <c r="A366" s="293" t="s">
        <v>1775</v>
      </c>
      <c r="B366" s="290" t="s">
        <v>2088</v>
      </c>
      <c r="C366" s="294" t="s">
        <v>1622</v>
      </c>
      <c r="D366" s="294" t="s">
        <v>1667</v>
      </c>
      <c r="E366" s="296">
        <v>25990</v>
      </c>
    </row>
    <row r="367" spans="1:5" ht="15.75" customHeight="1" thickBot="1" x14ac:dyDescent="0.25">
      <c r="A367" s="293" t="s">
        <v>2082</v>
      </c>
      <c r="B367" s="290" t="s">
        <v>2089</v>
      </c>
      <c r="C367" s="294" t="s">
        <v>1656</v>
      </c>
      <c r="D367" s="294" t="s">
        <v>1655</v>
      </c>
      <c r="E367" s="296">
        <v>25990</v>
      </c>
    </row>
    <row r="368" spans="1:5" ht="15.75" customHeight="1" x14ac:dyDescent="0.2">
      <c r="A368" s="293" t="s">
        <v>2107</v>
      </c>
      <c r="B368" s="290" t="s">
        <v>2111</v>
      </c>
      <c r="C368" s="294" t="s">
        <v>1656</v>
      </c>
      <c r="D368" s="294" t="s">
        <v>1655</v>
      </c>
      <c r="E368" s="296">
        <v>25990</v>
      </c>
    </row>
    <row r="369" spans="1:5" ht="15.75" customHeight="1" x14ac:dyDescent="0.2">
      <c r="A369" s="288"/>
      <c r="B369" s="14"/>
      <c r="C369" s="14"/>
      <c r="D369" s="14"/>
      <c r="E369" s="29"/>
    </row>
    <row r="370" spans="1:5" ht="15.75" customHeight="1" x14ac:dyDescent="0.2">
      <c r="A370" s="288"/>
      <c r="B370" s="14"/>
      <c r="C370" s="14"/>
      <c r="D370" s="14"/>
      <c r="E370" s="29"/>
    </row>
    <row r="371" spans="1:5" ht="15.75" customHeight="1" x14ac:dyDescent="0.25">
      <c r="A371" s="287"/>
      <c r="B371" s="191"/>
      <c r="C371" s="191"/>
      <c r="D371" s="191"/>
      <c r="E371" s="29"/>
    </row>
    <row r="372" spans="1:5" ht="15.75" customHeight="1" x14ac:dyDescent="0.2">
      <c r="A372" s="288"/>
      <c r="B372" s="14"/>
      <c r="C372" s="14"/>
      <c r="D372" s="14"/>
      <c r="E372" s="29"/>
    </row>
    <row r="373" spans="1:5" ht="15" x14ac:dyDescent="0.25">
      <c r="A373" s="287"/>
      <c r="B373" s="191"/>
      <c r="C373" s="191"/>
      <c r="D373" s="191"/>
      <c r="E373" s="29"/>
    </row>
    <row r="374" spans="1:5" ht="18" x14ac:dyDescent="0.2">
      <c r="A374" s="224"/>
      <c r="B374" s="110"/>
      <c r="C374" s="110"/>
      <c r="D374" s="118"/>
      <c r="E374" s="29"/>
    </row>
    <row r="375" spans="1:5" ht="18" x14ac:dyDescent="0.2">
      <c r="A375" s="224"/>
      <c r="B375" s="289"/>
      <c r="C375" s="110"/>
      <c r="D375" s="118"/>
      <c r="E375" s="29"/>
    </row>
    <row r="376" spans="1:5" ht="15" x14ac:dyDescent="0.25">
      <c r="A376" s="287"/>
      <c r="B376" s="192"/>
      <c r="C376" s="191"/>
      <c r="D376" s="191"/>
      <c r="E376" s="29"/>
    </row>
    <row r="377" spans="1:5" ht="18" x14ac:dyDescent="0.2">
      <c r="A377" s="224"/>
      <c r="B377" s="110"/>
      <c r="C377" s="110"/>
      <c r="D377" s="118"/>
      <c r="E377" s="29"/>
    </row>
    <row r="378" spans="1:5" ht="18" x14ac:dyDescent="0.2">
      <c r="A378" s="224"/>
      <c r="B378" s="110"/>
      <c r="C378" s="110"/>
      <c r="D378" s="118"/>
      <c r="E378" s="29"/>
    </row>
    <row r="379" spans="1:5" ht="18" x14ac:dyDescent="0.2">
      <c r="A379" s="224"/>
      <c r="B379" s="110"/>
      <c r="C379" s="110"/>
      <c r="D379" s="118"/>
      <c r="E379" s="29"/>
    </row>
    <row r="380" spans="1:5" ht="18" x14ac:dyDescent="0.2">
      <c r="A380" s="224"/>
      <c r="B380" s="110"/>
      <c r="C380" s="110"/>
      <c r="D380" s="118"/>
      <c r="E380" s="29"/>
    </row>
    <row r="381" spans="1:5" ht="15" x14ac:dyDescent="0.25">
      <c r="A381" s="287"/>
      <c r="B381" s="191"/>
      <c r="C381" s="191"/>
      <c r="D381" s="191"/>
      <c r="E381" s="29"/>
    </row>
    <row r="382" spans="1:5" ht="15" x14ac:dyDescent="0.25">
      <c r="A382" s="287"/>
      <c r="B382" s="191"/>
      <c r="C382" s="191"/>
      <c r="D382" s="191"/>
      <c r="E382" s="29"/>
    </row>
    <row r="383" spans="1:5" ht="15" x14ac:dyDescent="0.25">
      <c r="A383" s="287"/>
      <c r="B383" s="191"/>
      <c r="C383" s="191"/>
      <c r="D383" s="191"/>
      <c r="E383" s="29"/>
    </row>
    <row r="384" spans="1:5" ht="15" x14ac:dyDescent="0.25">
      <c r="A384" s="287"/>
      <c r="B384" s="191"/>
      <c r="C384" s="191"/>
      <c r="D384" s="191"/>
      <c r="E384" s="29"/>
    </row>
    <row r="385" spans="1:5" x14ac:dyDescent="0.25">
      <c r="A385" s="249"/>
      <c r="B385" s="191"/>
      <c r="C385" s="191"/>
      <c r="D385" s="191"/>
      <c r="E385" s="29"/>
    </row>
    <row r="386" spans="1:5" x14ac:dyDescent="0.25">
      <c r="A386" s="249"/>
      <c r="B386" s="191"/>
      <c r="C386" s="191"/>
      <c r="D386" s="191"/>
      <c r="E386" s="29"/>
    </row>
    <row r="387" spans="1:5" x14ac:dyDescent="0.25">
      <c r="A387" s="249"/>
      <c r="B387" s="191"/>
      <c r="C387" s="191"/>
      <c r="D387" s="191"/>
      <c r="E387" s="29"/>
    </row>
    <row r="388" spans="1:5" x14ac:dyDescent="0.25">
      <c r="A388" s="249"/>
      <c r="B388" s="191"/>
      <c r="C388" s="191"/>
      <c r="D388" s="191"/>
      <c r="E388" s="29"/>
    </row>
  </sheetData>
  <autoFilter ref="A279:E279" xr:uid="{00000000-0001-0000-0100-000000000000}">
    <sortState xmlns:xlrd2="http://schemas.microsoft.com/office/spreadsheetml/2017/richdata2" ref="A280:E390">
      <sortCondition ref="A279"/>
    </sortState>
  </autoFilter>
  <sortState xmlns:xlrd2="http://schemas.microsoft.com/office/spreadsheetml/2017/richdata2" ref="G218:J282">
    <sortCondition ref="G218:G282"/>
  </sortState>
  <phoneticPr fontId="2" type="noConversion"/>
  <conditionalFormatting sqref="A178">
    <cfRule type="duplicateValues" dxfId="38" priority="39"/>
    <cfRule type="duplicateValues" dxfId="37" priority="38"/>
    <cfRule type="duplicateValues" dxfId="36" priority="37"/>
  </conditionalFormatting>
  <conditionalFormatting sqref="A185:A187">
    <cfRule type="duplicateValues" dxfId="35" priority="48"/>
    <cfRule type="duplicateValues" dxfId="34" priority="47"/>
    <cfRule type="duplicateValues" dxfId="33" priority="46"/>
  </conditionalFormatting>
  <conditionalFormatting sqref="A190">
    <cfRule type="duplicateValues" dxfId="32" priority="45"/>
    <cfRule type="duplicateValues" dxfId="31" priority="44"/>
    <cfRule type="duplicateValues" dxfId="30" priority="43"/>
  </conditionalFormatting>
  <conditionalFormatting sqref="A191:A192">
    <cfRule type="duplicateValues" dxfId="29" priority="42"/>
    <cfRule type="duplicateValues" dxfId="28" priority="41"/>
    <cfRule type="duplicateValues" dxfId="27" priority="40"/>
  </conditionalFormatting>
  <conditionalFormatting sqref="A242:A270 A218">
    <cfRule type="duplicateValues" dxfId="26" priority="553"/>
    <cfRule type="duplicateValues" dxfId="25" priority="551"/>
    <cfRule type="duplicateValues" dxfId="24" priority="552"/>
  </conditionalFormatting>
  <conditionalFormatting sqref="A346:A361 A363">
    <cfRule type="duplicateValues" dxfId="23" priority="26"/>
    <cfRule type="duplicateValues" dxfId="22" priority="25"/>
    <cfRule type="duplicateValues" dxfId="21" priority="27"/>
  </conditionalFormatting>
  <conditionalFormatting sqref="A362">
    <cfRule type="duplicateValues" dxfId="20" priority="3"/>
    <cfRule type="duplicateValues" dxfId="19" priority="1"/>
    <cfRule type="duplicateValues" dxfId="18" priority="2"/>
  </conditionalFormatting>
  <conditionalFormatting sqref="A374">
    <cfRule type="duplicateValues" dxfId="17" priority="22"/>
    <cfRule type="duplicateValues" dxfId="16" priority="24"/>
    <cfRule type="duplicateValues" dxfId="15" priority="23"/>
  </conditionalFormatting>
  <conditionalFormatting sqref="A375">
    <cfRule type="duplicateValues" dxfId="14" priority="21"/>
    <cfRule type="duplicateValues" dxfId="13" priority="20"/>
    <cfRule type="duplicateValues" dxfId="12" priority="19"/>
  </conditionalFormatting>
  <conditionalFormatting sqref="A377">
    <cfRule type="duplicateValues" dxfId="11" priority="15"/>
    <cfRule type="duplicateValues" dxfId="10" priority="14"/>
    <cfRule type="duplicateValues" dxfId="9" priority="13"/>
  </conditionalFormatting>
  <conditionalFormatting sqref="A378">
    <cfRule type="duplicateValues" dxfId="8" priority="12"/>
    <cfRule type="duplicateValues" dxfId="7" priority="11"/>
    <cfRule type="duplicateValues" dxfId="6" priority="10"/>
  </conditionalFormatting>
  <conditionalFormatting sqref="A379">
    <cfRule type="duplicateValues" dxfId="5" priority="9"/>
    <cfRule type="duplicateValues" dxfId="4" priority="8"/>
    <cfRule type="duplicateValues" dxfId="3" priority="7"/>
  </conditionalFormatting>
  <conditionalFormatting sqref="A380">
    <cfRule type="duplicateValues" dxfId="2" priority="6"/>
    <cfRule type="duplicateValues" dxfId="1" priority="5"/>
    <cfRule type="duplicateValues" dxfId="0" priority="4"/>
  </conditionalFormatting>
  <pageMargins left="0.11811023622047245" right="0.31496062992125984" top="0.15748031496062992" bottom="0.15748031496062992" header="0.31496062992125984" footer="0.31496062992125984"/>
  <pageSetup scale="9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5DBA-8D6A-47F1-BCF1-A65D0666F50F}">
  <sheetPr codeName="Hoja3"/>
  <dimension ref="A1:AC167"/>
  <sheetViews>
    <sheetView topLeftCell="T1" workbookViewId="0">
      <selection activeCell="X4" sqref="X4"/>
    </sheetView>
  </sheetViews>
  <sheetFormatPr baseColWidth="10" defaultColWidth="11.42578125" defaultRowHeight="12.75" x14ac:dyDescent="0.2"/>
  <cols>
    <col min="1" max="1" width="13.5703125" style="73" customWidth="1"/>
    <col min="2" max="2" width="10" style="73" bestFit="1" customWidth="1"/>
    <col min="3" max="3" width="50.5703125" style="21" customWidth="1"/>
    <col min="4" max="4" width="21.5703125" style="17" customWidth="1"/>
    <col min="5" max="5" width="32.7109375" style="19" customWidth="1"/>
    <col min="6" max="6" width="26" style="17" bestFit="1" customWidth="1"/>
    <col min="7" max="7" width="18.85546875" style="17" bestFit="1" customWidth="1"/>
    <col min="8" max="8" width="50.5703125" style="73" bestFit="1" customWidth="1"/>
    <col min="9" max="9" width="33" style="20" bestFit="1" customWidth="1"/>
    <col min="10" max="10" width="25.140625" style="17" bestFit="1" customWidth="1"/>
    <col min="11" max="11" width="20.28515625" style="17" customWidth="1"/>
    <col min="12" max="12" width="9" style="17" customWidth="1"/>
    <col min="13" max="13" width="11.85546875" style="17" customWidth="1"/>
    <col min="14" max="14" width="18.85546875" style="17" customWidth="1"/>
    <col min="15" max="15" width="12.42578125" style="20" customWidth="1"/>
    <col min="16" max="16" width="9.140625" style="17" bestFit="1" customWidth="1"/>
    <col min="17" max="17" width="32.85546875" style="17" customWidth="1"/>
    <col min="18" max="18" width="21.42578125" style="17" customWidth="1"/>
    <col min="19" max="19" width="28.5703125" style="17" customWidth="1"/>
    <col min="20" max="20" width="23.28515625" style="17" customWidth="1"/>
    <col min="21" max="21" width="18.5703125" style="73" customWidth="1"/>
    <col min="22" max="22" width="70.5703125" style="73" customWidth="1"/>
    <col min="23" max="23" width="11.42578125" style="18"/>
    <col min="24" max="26" width="11.42578125" style="23"/>
    <col min="27" max="27" width="11.42578125" style="91"/>
    <col min="28" max="28" width="11.42578125" style="95"/>
    <col min="29" max="29" width="13.42578125" style="100" customWidth="1"/>
    <col min="30" max="16384" width="11.42578125" style="18"/>
  </cols>
  <sheetData>
    <row r="1" spans="1:29" s="88" customFormat="1" ht="15" x14ac:dyDescent="0.25">
      <c r="A1" s="105">
        <v>1</v>
      </c>
      <c r="B1" s="86">
        <v>1</v>
      </c>
      <c r="C1" s="87">
        <v>2</v>
      </c>
      <c r="D1" s="86">
        <v>3</v>
      </c>
      <c r="E1" s="87">
        <v>4</v>
      </c>
      <c r="F1" s="86">
        <v>5</v>
      </c>
      <c r="G1" s="87">
        <v>6</v>
      </c>
      <c r="H1" s="86">
        <v>7</v>
      </c>
      <c r="I1" s="87">
        <v>8</v>
      </c>
      <c r="J1" s="86">
        <v>9</v>
      </c>
      <c r="K1" s="87">
        <v>10</v>
      </c>
      <c r="L1" s="86">
        <v>11</v>
      </c>
      <c r="M1" s="87">
        <v>12</v>
      </c>
      <c r="N1" s="86">
        <v>13</v>
      </c>
      <c r="O1" s="87">
        <v>14</v>
      </c>
      <c r="P1" s="86">
        <v>15</v>
      </c>
      <c r="Q1" s="87">
        <v>16</v>
      </c>
      <c r="R1" s="86">
        <v>17</v>
      </c>
      <c r="S1" s="87">
        <v>18</v>
      </c>
      <c r="T1" s="86">
        <v>19</v>
      </c>
      <c r="U1" s="87">
        <v>20</v>
      </c>
      <c r="V1" s="86">
        <v>21</v>
      </c>
      <c r="W1" s="87">
        <v>22</v>
      </c>
      <c r="X1" s="86">
        <v>23</v>
      </c>
      <c r="Y1" s="87">
        <v>24</v>
      </c>
      <c r="Z1" s="86">
        <v>25</v>
      </c>
      <c r="AA1" s="94">
        <v>26</v>
      </c>
      <c r="AB1" s="104">
        <v>27</v>
      </c>
      <c r="AC1" s="99">
        <v>28</v>
      </c>
    </row>
    <row r="2" spans="1:29" x14ac:dyDescent="0.2">
      <c r="C2" s="19"/>
      <c r="I2" s="17"/>
      <c r="O2" s="17"/>
    </row>
    <row r="3" spans="1:29" s="19" customFormat="1" ht="18" customHeight="1" x14ac:dyDescent="0.2">
      <c r="A3" s="81" t="s">
        <v>5</v>
      </c>
      <c r="B3" s="81" t="s">
        <v>1359</v>
      </c>
      <c r="C3" s="79" t="s">
        <v>89</v>
      </c>
      <c r="D3" s="79" t="s">
        <v>90</v>
      </c>
      <c r="E3" s="79" t="s">
        <v>91</v>
      </c>
      <c r="F3" s="79" t="s">
        <v>92</v>
      </c>
      <c r="G3" s="79" t="s">
        <v>93</v>
      </c>
      <c r="H3" s="80" t="s">
        <v>399</v>
      </c>
      <c r="I3" s="79" t="s">
        <v>94</v>
      </c>
      <c r="J3" s="79" t="s">
        <v>95</v>
      </c>
      <c r="K3" s="79" t="s">
        <v>96</v>
      </c>
      <c r="L3" s="79" t="s">
        <v>686</v>
      </c>
      <c r="M3" s="79" t="s">
        <v>97</v>
      </c>
      <c r="N3" s="79" t="s">
        <v>333</v>
      </c>
      <c r="O3" s="79" t="s">
        <v>98</v>
      </c>
      <c r="P3" s="79" t="s">
        <v>1112</v>
      </c>
      <c r="Q3" s="79" t="s">
        <v>99</v>
      </c>
      <c r="R3" s="79" t="s">
        <v>7</v>
      </c>
      <c r="S3" s="79" t="s">
        <v>21</v>
      </c>
      <c r="T3" s="79" t="s">
        <v>100</v>
      </c>
      <c r="U3" s="79" t="s">
        <v>29</v>
      </c>
      <c r="V3" s="79" t="s">
        <v>334</v>
      </c>
      <c r="W3" s="83" t="s">
        <v>1339</v>
      </c>
      <c r="X3" s="84" t="s">
        <v>661</v>
      </c>
      <c r="Y3" s="84" t="s">
        <v>662</v>
      </c>
      <c r="Z3" s="83" t="s">
        <v>663</v>
      </c>
      <c r="AA3" s="90" t="s">
        <v>1340</v>
      </c>
      <c r="AB3" s="96" t="s">
        <v>1083</v>
      </c>
      <c r="AC3" s="103" t="s">
        <v>1341</v>
      </c>
    </row>
    <row r="4" spans="1:29" s="57" customFormat="1" ht="18" customHeight="1" x14ac:dyDescent="0.2">
      <c r="A4" s="67" t="s">
        <v>1383</v>
      </c>
      <c r="B4" s="67">
        <v>48787584</v>
      </c>
      <c r="C4" s="61" t="s">
        <v>105</v>
      </c>
      <c r="D4" s="62" t="s">
        <v>1305</v>
      </c>
      <c r="E4" s="63" t="s">
        <v>106</v>
      </c>
      <c r="F4" s="62">
        <v>998269854</v>
      </c>
      <c r="G4" s="62" t="s">
        <v>328</v>
      </c>
      <c r="H4" s="67" t="s">
        <v>1178</v>
      </c>
      <c r="I4" s="64" t="s">
        <v>1174</v>
      </c>
      <c r="J4" s="62" t="s">
        <v>1121</v>
      </c>
      <c r="K4" s="62" t="s">
        <v>1036</v>
      </c>
      <c r="L4" s="62">
        <v>4</v>
      </c>
      <c r="M4" s="62">
        <v>0</v>
      </c>
      <c r="N4" s="62" t="s">
        <v>453</v>
      </c>
      <c r="O4" s="64"/>
      <c r="P4" s="62"/>
      <c r="Q4" s="62" t="s">
        <v>836</v>
      </c>
      <c r="R4" s="62"/>
      <c r="S4" s="62" t="s">
        <v>112</v>
      </c>
      <c r="T4" s="62" t="s">
        <v>454</v>
      </c>
      <c r="U4" s="67" t="s">
        <v>452</v>
      </c>
      <c r="V4" s="67" t="s">
        <v>455</v>
      </c>
      <c r="W4" s="82"/>
      <c r="X4" s="89">
        <v>487</v>
      </c>
      <c r="Y4" s="89">
        <v>432</v>
      </c>
      <c r="Z4" s="89">
        <v>55</v>
      </c>
      <c r="AA4" s="92">
        <v>0.88706365503080087</v>
      </c>
      <c r="AB4" s="97">
        <v>12047130</v>
      </c>
      <c r="AC4" s="101">
        <v>781.99999999999989</v>
      </c>
    </row>
    <row r="5" spans="1:29" s="57" customFormat="1" ht="18" customHeight="1" x14ac:dyDescent="0.2">
      <c r="A5" s="67" t="s">
        <v>1377</v>
      </c>
      <c r="B5" s="67">
        <v>50015629</v>
      </c>
      <c r="C5" s="61" t="s">
        <v>305</v>
      </c>
      <c r="D5" s="62" t="s">
        <v>1306</v>
      </c>
      <c r="E5" s="63" t="s">
        <v>306</v>
      </c>
      <c r="F5" s="62" t="s">
        <v>634</v>
      </c>
      <c r="G5" s="62" t="s">
        <v>286</v>
      </c>
      <c r="H5" s="67"/>
      <c r="I5" s="64"/>
      <c r="J5" s="62" t="s">
        <v>1122</v>
      </c>
      <c r="K5" s="62" t="s">
        <v>1036</v>
      </c>
      <c r="L5" s="62">
        <v>3</v>
      </c>
      <c r="M5" s="62">
        <v>0</v>
      </c>
      <c r="N5" s="62" t="s">
        <v>757</v>
      </c>
      <c r="O5" s="64"/>
      <c r="P5" s="75">
        <v>0.05</v>
      </c>
      <c r="Q5" s="62" t="s">
        <v>844</v>
      </c>
      <c r="R5" s="62" t="s">
        <v>758</v>
      </c>
      <c r="S5" s="62" t="s">
        <v>547</v>
      </c>
      <c r="T5" s="62" t="s">
        <v>548</v>
      </c>
      <c r="U5" s="67" t="s">
        <v>549</v>
      </c>
      <c r="V5" s="67"/>
      <c r="W5" s="65"/>
      <c r="X5" s="89">
        <v>0</v>
      </c>
      <c r="Y5" s="66">
        <v>0</v>
      </c>
      <c r="Z5" s="66">
        <v>0</v>
      </c>
      <c r="AA5" s="93">
        <v>0</v>
      </c>
      <c r="AB5" s="98">
        <v>0</v>
      </c>
      <c r="AC5" s="102">
        <v>0</v>
      </c>
    </row>
    <row r="6" spans="1:29" s="57" customFormat="1" ht="18" customHeight="1" x14ac:dyDescent="0.2">
      <c r="A6" s="67" t="s">
        <v>1384</v>
      </c>
      <c r="B6" s="67">
        <v>53849008</v>
      </c>
      <c r="C6" s="61" t="s">
        <v>242</v>
      </c>
      <c r="D6" s="62" t="s">
        <v>338</v>
      </c>
      <c r="E6" s="63" t="s">
        <v>901</v>
      </c>
      <c r="F6" s="62">
        <v>966322618</v>
      </c>
      <c r="G6" s="62" t="s">
        <v>328</v>
      </c>
      <c r="H6" s="67"/>
      <c r="I6" s="64"/>
      <c r="J6" s="62" t="s">
        <v>339</v>
      </c>
      <c r="K6" s="62" t="s">
        <v>1036</v>
      </c>
      <c r="L6" s="62">
        <v>4</v>
      </c>
      <c r="M6" s="62">
        <v>0</v>
      </c>
      <c r="N6" s="62" t="s">
        <v>340</v>
      </c>
      <c r="O6" s="64"/>
      <c r="P6" s="62"/>
      <c r="Q6" s="62" t="s">
        <v>836</v>
      </c>
      <c r="R6" s="62"/>
      <c r="S6" s="62" t="s">
        <v>341</v>
      </c>
      <c r="T6" s="62" t="s">
        <v>342</v>
      </c>
      <c r="U6" s="67" t="s">
        <v>338</v>
      </c>
      <c r="V6" s="67"/>
      <c r="W6" s="65"/>
      <c r="X6" s="89">
        <v>0</v>
      </c>
      <c r="Y6" s="66">
        <v>0</v>
      </c>
      <c r="Z6" s="66">
        <v>0</v>
      </c>
      <c r="AA6" s="93">
        <v>0</v>
      </c>
      <c r="AB6" s="98">
        <v>0</v>
      </c>
      <c r="AC6" s="102">
        <v>0</v>
      </c>
    </row>
    <row r="7" spans="1:29" s="57" customFormat="1" ht="18" customHeight="1" x14ac:dyDescent="0.2">
      <c r="A7" s="67" t="s">
        <v>1385</v>
      </c>
      <c r="B7" s="67">
        <v>59133659</v>
      </c>
      <c r="C7" s="61" t="s">
        <v>315</v>
      </c>
      <c r="D7" s="62" t="s">
        <v>586</v>
      </c>
      <c r="E7" s="63" t="s">
        <v>316</v>
      </c>
      <c r="F7" s="62" t="s">
        <v>1239</v>
      </c>
      <c r="G7" s="62" t="s">
        <v>286</v>
      </c>
      <c r="H7" s="67" t="s">
        <v>1179</v>
      </c>
      <c r="I7" s="64"/>
      <c r="J7" s="62" t="s">
        <v>317</v>
      </c>
      <c r="K7" s="62" t="s">
        <v>1113</v>
      </c>
      <c r="L7" s="62">
        <v>3</v>
      </c>
      <c r="M7" s="62">
        <v>0</v>
      </c>
      <c r="N7" s="62" t="s">
        <v>552</v>
      </c>
      <c r="O7" s="64"/>
      <c r="P7" s="62"/>
      <c r="Q7" s="62" t="s">
        <v>937</v>
      </c>
      <c r="R7" s="62"/>
      <c r="S7" s="62" t="s">
        <v>539</v>
      </c>
      <c r="T7" s="62" t="s">
        <v>559</v>
      </c>
      <c r="U7" s="67" t="str">
        <f>D7</f>
        <v>OVALLE</v>
      </c>
      <c r="V7" s="67"/>
      <c r="W7" s="65"/>
      <c r="X7" s="89">
        <v>182</v>
      </c>
      <c r="Y7" s="66">
        <v>116</v>
      </c>
      <c r="Z7" s="66">
        <v>66</v>
      </c>
      <c r="AA7" s="93">
        <v>0.63736263736263732</v>
      </c>
      <c r="AB7" s="98">
        <v>4477180</v>
      </c>
      <c r="AC7" s="102">
        <v>186.29999999999998</v>
      </c>
    </row>
    <row r="8" spans="1:29" s="57" customFormat="1" ht="18" customHeight="1" x14ac:dyDescent="0.2">
      <c r="A8" s="67" t="s">
        <v>1386</v>
      </c>
      <c r="B8" s="67">
        <v>60311234</v>
      </c>
      <c r="C8" s="61" t="s">
        <v>262</v>
      </c>
      <c r="D8" s="62" t="s">
        <v>346</v>
      </c>
      <c r="E8" s="63" t="s">
        <v>263</v>
      </c>
      <c r="F8" s="62">
        <v>961895384</v>
      </c>
      <c r="G8" s="62" t="s">
        <v>725</v>
      </c>
      <c r="H8" s="67" t="s">
        <v>1180</v>
      </c>
      <c r="I8" s="64"/>
      <c r="J8" s="62" t="s">
        <v>350</v>
      </c>
      <c r="K8" s="62" t="s">
        <v>140</v>
      </c>
      <c r="L8" s="62">
        <v>3</v>
      </c>
      <c r="M8" s="62">
        <v>0</v>
      </c>
      <c r="N8" s="62" t="s">
        <v>343</v>
      </c>
      <c r="O8" s="64"/>
      <c r="P8" s="62"/>
      <c r="Q8" s="62" t="s">
        <v>815</v>
      </c>
      <c r="R8" s="62"/>
      <c r="S8" s="62" t="s">
        <v>344</v>
      </c>
      <c r="T8" s="62" t="s">
        <v>345</v>
      </c>
      <c r="U8" s="67" t="s">
        <v>346</v>
      </c>
      <c r="V8" s="67"/>
      <c r="W8" s="65"/>
      <c r="X8" s="89">
        <v>90</v>
      </c>
      <c r="Y8" s="66">
        <v>88</v>
      </c>
      <c r="Z8" s="66">
        <v>2</v>
      </c>
      <c r="AA8" s="93">
        <v>0.97777777777777775</v>
      </c>
      <c r="AB8" s="98">
        <v>2223100</v>
      </c>
      <c r="AC8" s="102">
        <v>51.749999999999993</v>
      </c>
    </row>
    <row r="9" spans="1:29" s="57" customFormat="1" ht="18" customHeight="1" x14ac:dyDescent="0.2">
      <c r="A9" s="67" t="s">
        <v>1387</v>
      </c>
      <c r="B9" s="67">
        <v>63319104</v>
      </c>
      <c r="C9" s="61" t="s">
        <v>290</v>
      </c>
      <c r="D9" s="62" t="s">
        <v>1307</v>
      </c>
      <c r="E9" s="63" t="s">
        <v>291</v>
      </c>
      <c r="F9" s="62" t="s">
        <v>1240</v>
      </c>
      <c r="G9" s="62" t="s">
        <v>286</v>
      </c>
      <c r="H9" s="67" t="s">
        <v>1181</v>
      </c>
      <c r="I9" s="64"/>
      <c r="J9" s="62" t="s">
        <v>1123</v>
      </c>
      <c r="K9" s="62" t="s">
        <v>1036</v>
      </c>
      <c r="L9" s="62">
        <v>3</v>
      </c>
      <c r="M9" s="62">
        <v>0</v>
      </c>
      <c r="N9" s="62" t="s">
        <v>724</v>
      </c>
      <c r="O9" s="64"/>
      <c r="P9" s="62"/>
      <c r="Q9" s="62" t="s">
        <v>937</v>
      </c>
      <c r="R9" s="62"/>
      <c r="S9" s="62" t="s">
        <v>539</v>
      </c>
      <c r="T9" s="62"/>
      <c r="U9" s="67" t="s">
        <v>401</v>
      </c>
      <c r="V9" s="67"/>
      <c r="W9" s="65"/>
      <c r="X9" s="89">
        <v>0</v>
      </c>
      <c r="Y9" s="66">
        <v>0</v>
      </c>
      <c r="Z9" s="66">
        <v>0</v>
      </c>
      <c r="AA9" s="93">
        <v>0</v>
      </c>
      <c r="AB9" s="98">
        <v>0</v>
      </c>
      <c r="AC9" s="102">
        <v>26.45</v>
      </c>
    </row>
    <row r="10" spans="1:29" s="57" customFormat="1" ht="18" customHeight="1" x14ac:dyDescent="0.2">
      <c r="A10" s="67" t="s">
        <v>1388</v>
      </c>
      <c r="B10" s="67">
        <v>65899043</v>
      </c>
      <c r="C10" s="61" t="s">
        <v>260</v>
      </c>
      <c r="D10" s="62" t="s">
        <v>349</v>
      </c>
      <c r="E10" s="63" t="s">
        <v>261</v>
      </c>
      <c r="F10" s="62">
        <v>985067217</v>
      </c>
      <c r="G10" s="62" t="s">
        <v>328</v>
      </c>
      <c r="H10" s="67" t="s">
        <v>1182</v>
      </c>
      <c r="I10" s="64"/>
      <c r="J10" s="62" t="s">
        <v>1124</v>
      </c>
      <c r="K10" s="62"/>
      <c r="L10" s="62">
        <v>4</v>
      </c>
      <c r="M10" s="62">
        <v>0</v>
      </c>
      <c r="N10" s="62" t="s">
        <v>347</v>
      </c>
      <c r="O10" s="64"/>
      <c r="P10" s="62"/>
      <c r="Q10" s="62" t="s">
        <v>836</v>
      </c>
      <c r="R10" s="62"/>
      <c r="S10" s="62" t="s">
        <v>344</v>
      </c>
      <c r="T10" s="62" t="s">
        <v>348</v>
      </c>
      <c r="U10" s="67" t="s">
        <v>349</v>
      </c>
      <c r="V10" s="67"/>
      <c r="W10" s="65"/>
      <c r="X10" s="89">
        <v>0</v>
      </c>
      <c r="Y10" s="66">
        <v>0</v>
      </c>
      <c r="Z10" s="66">
        <v>0</v>
      </c>
      <c r="AA10" s="93">
        <v>0</v>
      </c>
      <c r="AB10" s="98">
        <v>0</v>
      </c>
      <c r="AC10" s="102">
        <v>0</v>
      </c>
    </row>
    <row r="11" spans="1:29" s="57" customFormat="1" ht="18" customHeight="1" x14ac:dyDescent="0.2">
      <c r="A11" s="67" t="s">
        <v>1389</v>
      </c>
      <c r="B11" s="67">
        <v>67753240</v>
      </c>
      <c r="C11" s="61" t="s">
        <v>230</v>
      </c>
      <c r="D11" s="62" t="s">
        <v>231</v>
      </c>
      <c r="E11" s="63" t="s">
        <v>232</v>
      </c>
      <c r="F11" s="62" t="s">
        <v>1241</v>
      </c>
      <c r="G11" s="62" t="s">
        <v>328</v>
      </c>
      <c r="H11" s="67" t="s">
        <v>1183</v>
      </c>
      <c r="I11" s="64" t="s">
        <v>233</v>
      </c>
      <c r="J11" s="62" t="s">
        <v>234</v>
      </c>
      <c r="K11" s="62"/>
      <c r="L11" s="62">
        <v>4</v>
      </c>
      <c r="M11" s="62"/>
      <c r="N11" s="62" t="s">
        <v>449</v>
      </c>
      <c r="O11" s="64"/>
      <c r="P11" s="62"/>
      <c r="Q11" s="62" t="s">
        <v>836</v>
      </c>
      <c r="R11" s="62"/>
      <c r="S11" s="62" t="s">
        <v>344</v>
      </c>
      <c r="T11" s="62" t="s">
        <v>450</v>
      </c>
      <c r="U11" s="67" t="s">
        <v>451</v>
      </c>
      <c r="V11" s="67"/>
      <c r="W11" s="65"/>
      <c r="X11" s="89">
        <v>0</v>
      </c>
      <c r="Y11" s="66">
        <v>0</v>
      </c>
      <c r="Z11" s="66">
        <v>0</v>
      </c>
      <c r="AA11" s="93">
        <v>0</v>
      </c>
      <c r="AB11" s="98">
        <v>0</v>
      </c>
      <c r="AC11" s="102">
        <v>0</v>
      </c>
    </row>
    <row r="12" spans="1:29" s="57" customFormat="1" ht="18" customHeight="1" x14ac:dyDescent="0.2">
      <c r="A12" s="67" t="s">
        <v>1390</v>
      </c>
      <c r="B12" s="67">
        <v>67999673</v>
      </c>
      <c r="C12" s="61" t="s">
        <v>215</v>
      </c>
      <c r="D12" s="62" t="s">
        <v>1308</v>
      </c>
      <c r="E12" s="63" t="s">
        <v>902</v>
      </c>
      <c r="F12" s="62">
        <v>91286053</v>
      </c>
      <c r="G12" s="62" t="s">
        <v>725</v>
      </c>
      <c r="H12" s="67" t="s">
        <v>1184</v>
      </c>
      <c r="I12" s="64"/>
      <c r="J12" s="62" t="s">
        <v>216</v>
      </c>
      <c r="K12" s="62"/>
      <c r="L12" s="62">
        <v>3</v>
      </c>
      <c r="M12" s="62">
        <v>0</v>
      </c>
      <c r="N12" s="62" t="s">
        <v>340</v>
      </c>
      <c r="O12" s="64"/>
      <c r="P12" s="62"/>
      <c r="Q12" s="62" t="s">
        <v>836</v>
      </c>
      <c r="R12" s="62"/>
      <c r="S12" s="62" t="s">
        <v>344</v>
      </c>
      <c r="T12" s="62" t="s">
        <v>436</v>
      </c>
      <c r="U12" s="67" t="s">
        <v>437</v>
      </c>
      <c r="V12" s="67"/>
      <c r="W12" s="65"/>
      <c r="X12" s="89">
        <v>180</v>
      </c>
      <c r="Y12" s="66">
        <v>176</v>
      </c>
      <c r="Z12" s="66">
        <v>4</v>
      </c>
      <c r="AA12" s="93">
        <v>0.97777777777777775</v>
      </c>
      <c r="AB12" s="98">
        <v>4426200</v>
      </c>
      <c r="AC12" s="102">
        <v>216.2</v>
      </c>
    </row>
    <row r="13" spans="1:29" s="57" customFormat="1" ht="18" customHeight="1" x14ac:dyDescent="0.2">
      <c r="A13" s="67" t="s">
        <v>667</v>
      </c>
      <c r="B13" s="67">
        <v>769654313</v>
      </c>
      <c r="C13" s="61" t="s">
        <v>666</v>
      </c>
      <c r="D13" s="62" t="s">
        <v>1309</v>
      </c>
      <c r="E13" s="63" t="s">
        <v>127</v>
      </c>
      <c r="F13" s="62">
        <v>991959818</v>
      </c>
      <c r="G13" s="62" t="s">
        <v>328</v>
      </c>
      <c r="H13" s="67" t="s">
        <v>1185</v>
      </c>
      <c r="I13" s="64"/>
      <c r="J13" s="62" t="s">
        <v>1125</v>
      </c>
      <c r="K13" s="62" t="s">
        <v>366</v>
      </c>
      <c r="L13" s="62">
        <v>1</v>
      </c>
      <c r="M13" s="62">
        <v>0</v>
      </c>
      <c r="N13" s="62" t="s">
        <v>351</v>
      </c>
      <c r="O13" s="64"/>
      <c r="P13" s="75"/>
      <c r="Q13" s="62" t="s">
        <v>944</v>
      </c>
      <c r="R13" s="62">
        <v>99594046</v>
      </c>
      <c r="S13" s="62" t="s">
        <v>344</v>
      </c>
      <c r="T13" s="62" t="s">
        <v>469</v>
      </c>
      <c r="U13" s="67" t="s">
        <v>470</v>
      </c>
      <c r="V13" s="67" t="s">
        <v>128</v>
      </c>
      <c r="W13" s="65"/>
      <c r="X13" s="89">
        <v>958</v>
      </c>
      <c r="Y13" s="66">
        <v>678</v>
      </c>
      <c r="Z13" s="66">
        <v>280</v>
      </c>
      <c r="AA13" s="93">
        <v>0.70772442588726514</v>
      </c>
      <c r="AB13" s="98">
        <v>23822420</v>
      </c>
      <c r="AC13" s="102">
        <v>635.94999999999993</v>
      </c>
    </row>
    <row r="14" spans="1:29" s="57" customFormat="1" ht="18" customHeight="1" x14ac:dyDescent="0.2">
      <c r="A14" s="67" t="s">
        <v>1391</v>
      </c>
      <c r="B14" s="67">
        <v>70968371</v>
      </c>
      <c r="C14" s="61" t="s">
        <v>296</v>
      </c>
      <c r="D14" s="62" t="s">
        <v>1310</v>
      </c>
      <c r="E14" s="63" t="s">
        <v>297</v>
      </c>
      <c r="F14" s="62" t="s">
        <v>1242</v>
      </c>
      <c r="G14" s="62" t="s">
        <v>286</v>
      </c>
      <c r="H14" s="77" t="s">
        <v>733</v>
      </c>
      <c r="I14" s="64"/>
      <c r="J14" s="62" t="s">
        <v>298</v>
      </c>
      <c r="K14" s="62" t="s">
        <v>1036</v>
      </c>
      <c r="L14" s="62">
        <v>1</v>
      </c>
      <c r="M14" s="62">
        <v>0</v>
      </c>
      <c r="N14" s="62" t="s">
        <v>340</v>
      </c>
      <c r="O14" s="64"/>
      <c r="P14" s="62"/>
      <c r="Q14" s="62" t="s">
        <v>937</v>
      </c>
      <c r="R14" s="62"/>
      <c r="S14" s="62" t="s">
        <v>353</v>
      </c>
      <c r="T14" s="62" t="s">
        <v>545</v>
      </c>
      <c r="U14" s="67" t="s">
        <v>544</v>
      </c>
      <c r="V14" s="67"/>
      <c r="W14" s="65"/>
      <c r="X14" s="89">
        <v>118</v>
      </c>
      <c r="Y14" s="66">
        <v>105</v>
      </c>
      <c r="Z14" s="66">
        <v>13</v>
      </c>
      <c r="AA14" s="93">
        <v>0.88983050847457623</v>
      </c>
      <c r="AB14" s="98">
        <v>2900820</v>
      </c>
      <c r="AC14" s="102">
        <v>143.75</v>
      </c>
    </row>
    <row r="15" spans="1:29" s="57" customFormat="1" ht="18" customHeight="1" x14ac:dyDescent="0.2">
      <c r="A15" s="67" t="s">
        <v>1392</v>
      </c>
      <c r="B15" s="67">
        <v>75620330</v>
      </c>
      <c r="C15" s="61" t="s">
        <v>591</v>
      </c>
      <c r="D15" s="62" t="s">
        <v>211</v>
      </c>
      <c r="E15" s="63" t="s">
        <v>570</v>
      </c>
      <c r="F15" s="62" t="s">
        <v>596</v>
      </c>
      <c r="G15" s="62" t="s">
        <v>633</v>
      </c>
      <c r="H15" s="76" t="s">
        <v>597</v>
      </c>
      <c r="I15" s="64"/>
      <c r="J15" s="62" t="s">
        <v>210</v>
      </c>
      <c r="K15" s="62"/>
      <c r="L15" s="62"/>
      <c r="M15" s="62"/>
      <c r="N15" s="62" t="s">
        <v>425</v>
      </c>
      <c r="O15" s="64"/>
      <c r="P15" s="62"/>
      <c r="Q15" s="62" t="s">
        <v>836</v>
      </c>
      <c r="R15" s="62"/>
      <c r="S15" s="62"/>
      <c r="T15" s="62" t="s">
        <v>592</v>
      </c>
      <c r="U15" s="67" t="s">
        <v>318</v>
      </c>
      <c r="V15" s="67"/>
      <c r="W15" s="65"/>
      <c r="X15" s="89">
        <v>0</v>
      </c>
      <c r="Y15" s="66">
        <v>0</v>
      </c>
      <c r="Z15" s="66">
        <v>0</v>
      </c>
      <c r="AA15" s="93">
        <v>0</v>
      </c>
      <c r="AB15" s="98">
        <v>0</v>
      </c>
      <c r="AC15" s="102">
        <v>0</v>
      </c>
    </row>
    <row r="16" spans="1:29" s="58" customFormat="1" ht="18" customHeight="1" x14ac:dyDescent="0.2">
      <c r="A16" s="67" t="s">
        <v>1393</v>
      </c>
      <c r="B16" s="67">
        <v>76348294</v>
      </c>
      <c r="C16" s="61" t="s">
        <v>119</v>
      </c>
      <c r="D16" s="62" t="s">
        <v>330</v>
      </c>
      <c r="E16" s="63" t="s">
        <v>120</v>
      </c>
      <c r="F16" s="62" t="s">
        <v>587</v>
      </c>
      <c r="G16" s="62" t="s">
        <v>328</v>
      </c>
      <c r="H16" s="76" t="s">
        <v>588</v>
      </c>
      <c r="I16" s="64"/>
      <c r="J16" s="62" t="s">
        <v>589</v>
      </c>
      <c r="K16" s="62"/>
      <c r="L16" s="62">
        <v>3</v>
      </c>
      <c r="M16" s="62"/>
      <c r="N16" s="62" t="s">
        <v>118</v>
      </c>
      <c r="O16" s="64"/>
      <c r="P16" s="62">
        <v>0</v>
      </c>
      <c r="Q16" s="62" t="s">
        <v>815</v>
      </c>
      <c r="R16" s="62" t="s">
        <v>1110</v>
      </c>
      <c r="S16" s="62" t="s">
        <v>379</v>
      </c>
      <c r="T16" s="62" t="s">
        <v>462</v>
      </c>
      <c r="U16" s="67" t="s">
        <v>330</v>
      </c>
      <c r="V16" s="67"/>
      <c r="W16" s="65"/>
      <c r="X16" s="89">
        <v>229</v>
      </c>
      <c r="Y16" s="66">
        <v>169</v>
      </c>
      <c r="Z16" s="66">
        <v>60</v>
      </c>
      <c r="AA16" s="93">
        <v>0.73799126637554591</v>
      </c>
      <c r="AB16" s="98">
        <v>5766710</v>
      </c>
      <c r="AC16" s="102">
        <v>248.39999999999998</v>
      </c>
    </row>
    <row r="17" spans="1:29" s="58" customFormat="1" ht="18" customHeight="1" x14ac:dyDescent="0.2">
      <c r="A17" s="67" t="s">
        <v>1394</v>
      </c>
      <c r="B17" s="67">
        <v>76754128</v>
      </c>
      <c r="C17" s="61" t="s">
        <v>239</v>
      </c>
      <c r="D17" s="62" t="s">
        <v>1311</v>
      </c>
      <c r="E17" s="63" t="s">
        <v>240</v>
      </c>
      <c r="F17" s="62" t="s">
        <v>1243</v>
      </c>
      <c r="G17" s="62" t="s">
        <v>328</v>
      </c>
      <c r="H17" s="76" t="s">
        <v>477</v>
      </c>
      <c r="I17" s="64" t="s">
        <v>241</v>
      </c>
      <c r="J17" s="62" t="s">
        <v>1126</v>
      </c>
      <c r="K17" s="62" t="s">
        <v>103</v>
      </c>
      <c r="L17" s="62">
        <v>3</v>
      </c>
      <c r="M17" s="62">
        <v>0</v>
      </c>
      <c r="N17" s="62" t="s">
        <v>351</v>
      </c>
      <c r="O17" s="64"/>
      <c r="P17" s="62"/>
      <c r="Q17" s="62" t="s">
        <v>836</v>
      </c>
      <c r="R17" s="62"/>
      <c r="S17" s="62" t="s">
        <v>344</v>
      </c>
      <c r="T17" s="62" t="s">
        <v>478</v>
      </c>
      <c r="U17" s="67" t="s">
        <v>352</v>
      </c>
      <c r="V17" s="67" t="s">
        <v>101</v>
      </c>
      <c r="W17" s="65"/>
      <c r="X17" s="89">
        <v>0</v>
      </c>
      <c r="Y17" s="66">
        <v>0</v>
      </c>
      <c r="Z17" s="66">
        <v>0</v>
      </c>
      <c r="AA17" s="93">
        <v>0</v>
      </c>
      <c r="AB17" s="98">
        <v>0</v>
      </c>
      <c r="AC17" s="102">
        <v>0</v>
      </c>
    </row>
    <row r="18" spans="1:29" s="58" customFormat="1" ht="18" customHeight="1" x14ac:dyDescent="0.2">
      <c r="A18" s="67" t="s">
        <v>1395</v>
      </c>
      <c r="B18" s="67">
        <v>82596623</v>
      </c>
      <c r="C18" s="61" t="s">
        <v>311</v>
      </c>
      <c r="D18" s="62" t="s">
        <v>738</v>
      </c>
      <c r="E18" s="63" t="s">
        <v>312</v>
      </c>
      <c r="F18" s="62" t="s">
        <v>1244</v>
      </c>
      <c r="G18" s="62" t="s">
        <v>286</v>
      </c>
      <c r="H18" s="67" t="s">
        <v>1186</v>
      </c>
      <c r="I18" s="64"/>
      <c r="J18" s="62" t="s">
        <v>311</v>
      </c>
      <c r="K18" s="62" t="s">
        <v>103</v>
      </c>
      <c r="L18" s="62">
        <v>3</v>
      </c>
      <c r="M18" s="62">
        <v>0</v>
      </c>
      <c r="N18" s="62" t="s">
        <v>557</v>
      </c>
      <c r="O18" s="64"/>
      <c r="P18" s="62"/>
      <c r="Q18" s="62" t="s">
        <v>937</v>
      </c>
      <c r="R18" s="62"/>
      <c r="S18" s="62" t="s">
        <v>353</v>
      </c>
      <c r="T18" s="62" t="s">
        <v>558</v>
      </c>
      <c r="U18" s="67" t="str">
        <f>D18</f>
        <v>LA SERENA</v>
      </c>
      <c r="V18" s="67"/>
      <c r="W18" s="65"/>
      <c r="X18" s="89">
        <v>0</v>
      </c>
      <c r="Y18" s="66">
        <v>0</v>
      </c>
      <c r="Z18" s="66">
        <v>0</v>
      </c>
      <c r="AA18" s="93">
        <v>0</v>
      </c>
      <c r="AB18" s="98">
        <v>0</v>
      </c>
      <c r="AC18" s="102">
        <v>48.3</v>
      </c>
    </row>
    <row r="19" spans="1:29" s="58" customFormat="1" ht="18" customHeight="1" x14ac:dyDescent="0.2">
      <c r="A19" s="67" t="s">
        <v>1396</v>
      </c>
      <c r="B19" s="67">
        <v>86117789</v>
      </c>
      <c r="C19" s="61" t="s">
        <v>162</v>
      </c>
      <c r="D19" s="62" t="s">
        <v>1312</v>
      </c>
      <c r="E19" s="63" t="s">
        <v>163</v>
      </c>
      <c r="F19" s="62" t="s">
        <v>1245</v>
      </c>
      <c r="G19" s="62" t="s">
        <v>725</v>
      </c>
      <c r="H19" s="76" t="s">
        <v>520</v>
      </c>
      <c r="I19" s="64"/>
      <c r="J19" s="62" t="s">
        <v>521</v>
      </c>
      <c r="K19" s="62" t="s">
        <v>366</v>
      </c>
      <c r="L19" s="62">
        <v>1</v>
      </c>
      <c r="M19" s="62">
        <v>0</v>
      </c>
      <c r="N19" s="62" t="s">
        <v>385</v>
      </c>
      <c r="O19" s="64"/>
      <c r="P19" s="62"/>
      <c r="Q19" s="62" t="s">
        <v>836</v>
      </c>
      <c r="R19" s="62"/>
      <c r="S19" s="62" t="s">
        <v>112</v>
      </c>
      <c r="T19" s="62" t="s">
        <v>522</v>
      </c>
      <c r="U19" s="67" t="s">
        <v>523</v>
      </c>
      <c r="V19" s="67" t="s">
        <v>102</v>
      </c>
      <c r="W19" s="65"/>
      <c r="X19" s="89">
        <v>0</v>
      </c>
      <c r="Y19" s="66">
        <v>0</v>
      </c>
      <c r="Z19" s="66">
        <v>0</v>
      </c>
      <c r="AA19" s="93">
        <v>0</v>
      </c>
      <c r="AB19" s="98">
        <v>0</v>
      </c>
      <c r="AC19" s="102">
        <v>0</v>
      </c>
    </row>
    <row r="20" spans="1:29" s="58" customFormat="1" ht="18" customHeight="1" x14ac:dyDescent="0.2">
      <c r="A20" s="67" t="s">
        <v>1397</v>
      </c>
      <c r="B20" s="67">
        <v>86598124</v>
      </c>
      <c r="C20" s="61" t="s">
        <v>355</v>
      </c>
      <c r="D20" s="62" t="s">
        <v>1313</v>
      </c>
      <c r="E20" s="63" t="s">
        <v>274</v>
      </c>
      <c r="F20" s="62" t="s">
        <v>275</v>
      </c>
      <c r="G20" s="62" t="s">
        <v>328</v>
      </c>
      <c r="H20" s="67" t="s">
        <v>1187</v>
      </c>
      <c r="I20" s="64"/>
      <c r="J20" s="62" t="s">
        <v>276</v>
      </c>
      <c r="K20" s="62" t="s">
        <v>1114</v>
      </c>
      <c r="L20" s="62">
        <v>3</v>
      </c>
      <c r="M20" s="62">
        <v>0</v>
      </c>
      <c r="N20" s="62" t="s">
        <v>356</v>
      </c>
      <c r="O20" s="64"/>
      <c r="P20" s="62"/>
      <c r="Q20" s="62" t="s">
        <v>836</v>
      </c>
      <c r="R20" s="62"/>
      <c r="S20" s="62" t="s">
        <v>357</v>
      </c>
      <c r="T20" s="62" t="s">
        <v>358</v>
      </c>
      <c r="U20" s="67" t="s">
        <v>359</v>
      </c>
      <c r="V20" s="67" t="s">
        <v>102</v>
      </c>
      <c r="W20" s="65"/>
      <c r="X20" s="89">
        <v>0</v>
      </c>
      <c r="Y20" s="66">
        <v>0</v>
      </c>
      <c r="Z20" s="66">
        <v>0</v>
      </c>
      <c r="AA20" s="93">
        <v>0</v>
      </c>
      <c r="AB20" s="98">
        <v>0</v>
      </c>
      <c r="AC20" s="102">
        <v>0</v>
      </c>
    </row>
    <row r="21" spans="1:29" s="58" customFormat="1" ht="18" customHeight="1" x14ac:dyDescent="0.2">
      <c r="A21" s="67" t="s">
        <v>1398</v>
      </c>
      <c r="B21" s="67">
        <v>86732041</v>
      </c>
      <c r="C21" s="61" t="s">
        <v>287</v>
      </c>
      <c r="D21" s="62" t="s">
        <v>1307</v>
      </c>
      <c r="E21" s="63" t="s">
        <v>540</v>
      </c>
      <c r="F21" s="62" t="s">
        <v>1246</v>
      </c>
      <c r="G21" s="62" t="s">
        <v>286</v>
      </c>
      <c r="H21" s="67" t="s">
        <v>1188</v>
      </c>
      <c r="I21" s="64"/>
      <c r="J21" s="62" t="s">
        <v>1127</v>
      </c>
      <c r="K21" s="62" t="s">
        <v>1036</v>
      </c>
      <c r="L21" s="62">
        <v>1</v>
      </c>
      <c r="M21" s="62">
        <v>0</v>
      </c>
      <c r="N21" s="62" t="s">
        <v>340</v>
      </c>
      <c r="O21" s="64"/>
      <c r="P21" s="75">
        <v>0.05</v>
      </c>
      <c r="Q21" s="62" t="s">
        <v>938</v>
      </c>
      <c r="R21" s="62"/>
      <c r="S21" s="62" t="s">
        <v>541</v>
      </c>
      <c r="T21" s="62"/>
      <c r="U21" s="67" t="s">
        <v>401</v>
      </c>
      <c r="V21" s="67"/>
      <c r="W21" s="65"/>
      <c r="X21" s="89">
        <v>96</v>
      </c>
      <c r="Y21" s="66">
        <v>73</v>
      </c>
      <c r="Z21" s="66">
        <v>23</v>
      </c>
      <c r="AA21" s="93">
        <v>0.76041666666666663</v>
      </c>
      <c r="AB21" s="98">
        <v>2383040</v>
      </c>
      <c r="AC21" s="102">
        <v>60.949999999999996</v>
      </c>
    </row>
    <row r="22" spans="1:29" s="59" customFormat="1" ht="18" customHeight="1" x14ac:dyDescent="0.2">
      <c r="A22" s="67" t="s">
        <v>1399</v>
      </c>
      <c r="B22" s="67" t="s">
        <v>1360</v>
      </c>
      <c r="C22" s="61" t="s">
        <v>293</v>
      </c>
      <c r="D22" s="62" t="s">
        <v>1314</v>
      </c>
      <c r="E22" s="63" t="s">
        <v>294</v>
      </c>
      <c r="F22" s="62" t="s">
        <v>1247</v>
      </c>
      <c r="G22" s="62" t="s">
        <v>286</v>
      </c>
      <c r="H22" s="67" t="s">
        <v>1189</v>
      </c>
      <c r="I22" s="64"/>
      <c r="J22" s="62" t="s">
        <v>1128</v>
      </c>
      <c r="K22" s="62" t="s">
        <v>1115</v>
      </c>
      <c r="L22" s="62">
        <v>1</v>
      </c>
      <c r="M22" s="62">
        <v>0</v>
      </c>
      <c r="N22" s="62" t="s">
        <v>543</v>
      </c>
      <c r="O22" s="64"/>
      <c r="P22" s="62"/>
      <c r="Q22" s="62" t="s">
        <v>937</v>
      </c>
      <c r="R22" s="62"/>
      <c r="S22" s="62" t="s">
        <v>344</v>
      </c>
      <c r="T22" s="62"/>
      <c r="U22" s="67" t="str">
        <f>D22</f>
        <v>TOCOPILLA</v>
      </c>
      <c r="V22" s="67"/>
      <c r="W22" s="65"/>
      <c r="X22" s="89">
        <v>0</v>
      </c>
      <c r="Y22" s="66">
        <v>0</v>
      </c>
      <c r="Z22" s="66">
        <v>0</v>
      </c>
      <c r="AA22" s="93">
        <v>0</v>
      </c>
      <c r="AB22" s="98">
        <v>0</v>
      </c>
      <c r="AC22" s="102">
        <v>0</v>
      </c>
    </row>
    <row r="23" spans="1:29" s="58" customFormat="1" ht="18" customHeight="1" x14ac:dyDescent="0.2">
      <c r="A23" s="67" t="s">
        <v>1400</v>
      </c>
      <c r="B23" s="67">
        <v>88373103</v>
      </c>
      <c r="C23" s="61" t="s">
        <v>213</v>
      </c>
      <c r="D23" s="62" t="s">
        <v>434</v>
      </c>
      <c r="E23" s="63" t="s">
        <v>214</v>
      </c>
      <c r="F23" s="62" t="s">
        <v>1248</v>
      </c>
      <c r="G23" s="62" t="s">
        <v>328</v>
      </c>
      <c r="H23" s="67" t="s">
        <v>1190</v>
      </c>
      <c r="I23" s="64"/>
      <c r="J23" s="62" t="s">
        <v>1129</v>
      </c>
      <c r="K23" s="62" t="s">
        <v>140</v>
      </c>
      <c r="L23" s="62">
        <v>3</v>
      </c>
      <c r="M23" s="62">
        <v>0</v>
      </c>
      <c r="N23" s="62" t="s">
        <v>340</v>
      </c>
      <c r="O23" s="64"/>
      <c r="P23" s="62"/>
      <c r="Q23" s="62" t="s">
        <v>836</v>
      </c>
      <c r="R23" s="62"/>
      <c r="S23" s="62" t="s">
        <v>344</v>
      </c>
      <c r="T23" s="62" t="s">
        <v>435</v>
      </c>
      <c r="U23" s="67" t="s">
        <v>434</v>
      </c>
      <c r="V23" s="67"/>
      <c r="W23" s="65"/>
      <c r="X23" s="89">
        <v>0</v>
      </c>
      <c r="Y23" s="66">
        <v>0</v>
      </c>
      <c r="Z23" s="66">
        <v>0</v>
      </c>
      <c r="AA23" s="93">
        <v>0</v>
      </c>
      <c r="AB23" s="98">
        <v>0</v>
      </c>
      <c r="AC23" s="102">
        <v>0</v>
      </c>
    </row>
    <row r="24" spans="1:29" s="59" customFormat="1" ht="18" customHeight="1" x14ac:dyDescent="0.2">
      <c r="A24" s="67" t="s">
        <v>1401</v>
      </c>
      <c r="B24" s="67">
        <v>88752201</v>
      </c>
      <c r="C24" s="61" t="s">
        <v>307</v>
      </c>
      <c r="D24" s="62" t="s">
        <v>1315</v>
      </c>
      <c r="E24" s="63" t="s">
        <v>308</v>
      </c>
      <c r="F24" s="62" t="s">
        <v>1249</v>
      </c>
      <c r="G24" s="62" t="s">
        <v>286</v>
      </c>
      <c r="H24" s="67" t="s">
        <v>1191</v>
      </c>
      <c r="I24" s="64"/>
      <c r="J24" s="62" t="s">
        <v>1130</v>
      </c>
      <c r="K24" s="62" t="s">
        <v>1036</v>
      </c>
      <c r="L24" s="62">
        <v>2</v>
      </c>
      <c r="M24" s="62">
        <v>0</v>
      </c>
      <c r="N24" s="62" t="s">
        <v>340</v>
      </c>
      <c r="O24" s="64"/>
      <c r="P24" s="62"/>
      <c r="Q24" s="62" t="s">
        <v>939</v>
      </c>
      <c r="R24" s="62"/>
      <c r="S24" s="62" t="s">
        <v>555</v>
      </c>
      <c r="T24" s="62" t="s">
        <v>556</v>
      </c>
      <c r="U24" s="67" t="str">
        <f>D24</f>
        <v>HUASCO</v>
      </c>
      <c r="V24" s="67"/>
      <c r="W24" s="65"/>
      <c r="X24" s="89">
        <v>0</v>
      </c>
      <c r="Y24" s="66">
        <v>0</v>
      </c>
      <c r="Z24" s="66">
        <v>0</v>
      </c>
      <c r="AA24" s="93">
        <v>0</v>
      </c>
      <c r="AB24" s="98">
        <v>0</v>
      </c>
      <c r="AC24" s="102">
        <v>0</v>
      </c>
    </row>
    <row r="25" spans="1:29" s="59" customFormat="1" ht="18" customHeight="1" x14ac:dyDescent="0.2">
      <c r="A25" s="67" t="s">
        <v>1402</v>
      </c>
      <c r="B25" s="67">
        <v>89904927</v>
      </c>
      <c r="C25" s="61" t="s">
        <v>195</v>
      </c>
      <c r="D25" s="62" t="s">
        <v>423</v>
      </c>
      <c r="E25" s="63" t="s">
        <v>196</v>
      </c>
      <c r="F25" s="62" t="s">
        <v>1250</v>
      </c>
      <c r="G25" s="62" t="s">
        <v>633</v>
      </c>
      <c r="H25" s="67" t="s">
        <v>1192</v>
      </c>
      <c r="I25" s="64"/>
      <c r="J25" s="62" t="s">
        <v>1131</v>
      </c>
      <c r="K25" s="62" t="s">
        <v>197</v>
      </c>
      <c r="L25" s="62">
        <v>3</v>
      </c>
      <c r="M25" s="62">
        <v>0</v>
      </c>
      <c r="N25" s="62" t="s">
        <v>412</v>
      </c>
      <c r="O25" s="64"/>
      <c r="P25" s="62"/>
      <c r="Q25" s="62" t="s">
        <v>363</v>
      </c>
      <c r="R25" s="62"/>
      <c r="S25" s="62" t="s">
        <v>344</v>
      </c>
      <c r="T25" s="62" t="s">
        <v>424</v>
      </c>
      <c r="U25" s="67" t="s">
        <v>423</v>
      </c>
      <c r="V25" s="67"/>
      <c r="W25" s="65"/>
      <c r="X25" s="89">
        <v>0</v>
      </c>
      <c r="Y25" s="66">
        <v>0</v>
      </c>
      <c r="Z25" s="66">
        <v>0</v>
      </c>
      <c r="AA25" s="93">
        <v>0</v>
      </c>
      <c r="AB25" s="98">
        <v>0</v>
      </c>
      <c r="AC25" s="102">
        <v>0</v>
      </c>
    </row>
    <row r="26" spans="1:29" s="58" customFormat="1" ht="18" customHeight="1" x14ac:dyDescent="0.2">
      <c r="A26" s="67" t="s">
        <v>1403</v>
      </c>
      <c r="B26" s="67">
        <v>90166042</v>
      </c>
      <c r="C26" s="61" t="s">
        <v>270</v>
      </c>
      <c r="D26" s="62" t="s">
        <v>1316</v>
      </c>
      <c r="E26" s="63" t="s">
        <v>271</v>
      </c>
      <c r="F26" s="62" t="s">
        <v>272</v>
      </c>
      <c r="G26" s="62" t="s">
        <v>328</v>
      </c>
      <c r="H26" s="67" t="s">
        <v>1193</v>
      </c>
      <c r="I26" s="64"/>
      <c r="J26" s="62" t="s">
        <v>1132</v>
      </c>
      <c r="K26" s="62" t="s">
        <v>103</v>
      </c>
      <c r="L26" s="62">
        <v>4</v>
      </c>
      <c r="M26" s="62">
        <v>0</v>
      </c>
      <c r="N26" s="62" t="s">
        <v>118</v>
      </c>
      <c r="O26" s="64"/>
      <c r="P26" s="62"/>
      <c r="Q26" s="62" t="s">
        <v>836</v>
      </c>
      <c r="R26" s="62"/>
      <c r="S26" s="62"/>
      <c r="T26" s="62"/>
      <c r="U26" s="67"/>
      <c r="V26" s="67"/>
      <c r="W26" s="65"/>
      <c r="X26" s="89">
        <v>0</v>
      </c>
      <c r="Y26" s="66">
        <v>0</v>
      </c>
      <c r="Z26" s="66">
        <v>0</v>
      </c>
      <c r="AA26" s="93">
        <v>0</v>
      </c>
      <c r="AB26" s="98">
        <v>0</v>
      </c>
      <c r="AC26" s="102">
        <v>0</v>
      </c>
    </row>
    <row r="27" spans="1:29" s="58" customFormat="1" ht="18" customHeight="1" x14ac:dyDescent="0.2">
      <c r="A27" s="67" t="s">
        <v>1404</v>
      </c>
      <c r="B27" s="67">
        <v>92761525</v>
      </c>
      <c r="C27" s="61" t="s">
        <v>252</v>
      </c>
      <c r="D27" s="62" t="s">
        <v>1317</v>
      </c>
      <c r="E27" s="63" t="s">
        <v>253</v>
      </c>
      <c r="F27" s="62" t="s">
        <v>1251</v>
      </c>
      <c r="G27" s="62" t="s">
        <v>328</v>
      </c>
      <c r="H27" s="67" t="s">
        <v>1194</v>
      </c>
      <c r="I27" s="64"/>
      <c r="J27" s="62" t="s">
        <v>360</v>
      </c>
      <c r="K27" s="62" t="s">
        <v>103</v>
      </c>
      <c r="L27" s="62">
        <v>3</v>
      </c>
      <c r="M27" s="62">
        <v>0</v>
      </c>
      <c r="N27" s="62" t="s">
        <v>351</v>
      </c>
      <c r="O27" s="64"/>
      <c r="P27" s="62"/>
      <c r="Q27" s="62" t="s">
        <v>836</v>
      </c>
      <c r="R27" s="62"/>
      <c r="S27" s="62" t="s">
        <v>353</v>
      </c>
      <c r="T27" s="62" t="s">
        <v>361</v>
      </c>
      <c r="U27" s="67" t="s">
        <v>362</v>
      </c>
      <c r="V27" s="67"/>
      <c r="W27" s="65"/>
      <c r="X27" s="89">
        <v>252</v>
      </c>
      <c r="Y27" s="66">
        <v>179</v>
      </c>
      <c r="Z27" s="66">
        <v>73</v>
      </c>
      <c r="AA27" s="93">
        <v>0.71031746031746035</v>
      </c>
      <c r="AB27" s="98">
        <v>6290480</v>
      </c>
      <c r="AC27" s="102">
        <v>287.5</v>
      </c>
    </row>
    <row r="28" spans="1:29" s="58" customFormat="1" ht="18" customHeight="1" x14ac:dyDescent="0.2">
      <c r="A28" s="67" t="s">
        <v>1405</v>
      </c>
      <c r="B28" s="67">
        <v>93052528</v>
      </c>
      <c r="C28" s="61" t="s">
        <v>288</v>
      </c>
      <c r="D28" s="62" t="s">
        <v>1307</v>
      </c>
      <c r="E28" s="63" t="s">
        <v>289</v>
      </c>
      <c r="F28" s="62" t="s">
        <v>1252</v>
      </c>
      <c r="G28" s="62" t="s">
        <v>286</v>
      </c>
      <c r="H28" s="77" t="s">
        <v>726</v>
      </c>
      <c r="I28" s="64"/>
      <c r="J28" s="62" t="s">
        <v>1133</v>
      </c>
      <c r="K28" s="62" t="s">
        <v>1116</v>
      </c>
      <c r="L28" s="62">
        <v>1</v>
      </c>
      <c r="M28" s="62">
        <v>0</v>
      </c>
      <c r="N28" s="62" t="s">
        <v>724</v>
      </c>
      <c r="O28" s="64"/>
      <c r="P28" s="62"/>
      <c r="Q28" s="62" t="s">
        <v>937</v>
      </c>
      <c r="R28" s="62"/>
      <c r="S28" s="62" t="s">
        <v>344</v>
      </c>
      <c r="T28" s="62" t="s">
        <v>542</v>
      </c>
      <c r="U28" s="67" t="s">
        <v>401</v>
      </c>
      <c r="V28" s="67"/>
      <c r="W28" s="65"/>
      <c r="X28" s="89">
        <v>196</v>
      </c>
      <c r="Y28" s="66">
        <v>171</v>
      </c>
      <c r="Z28" s="66">
        <v>25</v>
      </c>
      <c r="AA28" s="93">
        <v>0.87244897959183676</v>
      </c>
      <c r="AB28" s="98">
        <v>4906040</v>
      </c>
      <c r="AC28" s="102">
        <v>439.29999999999995</v>
      </c>
    </row>
    <row r="29" spans="1:29" s="58" customFormat="1" ht="18" customHeight="1" x14ac:dyDescent="0.2">
      <c r="A29" s="67" t="s">
        <v>1382</v>
      </c>
      <c r="B29" s="67" t="s">
        <v>1361</v>
      </c>
      <c r="C29" s="61" t="s">
        <v>267</v>
      </c>
      <c r="D29" s="62" t="s">
        <v>1318</v>
      </c>
      <c r="E29" s="63" t="s">
        <v>268</v>
      </c>
      <c r="F29" s="62" t="s">
        <v>1253</v>
      </c>
      <c r="G29" s="62" t="s">
        <v>328</v>
      </c>
      <c r="H29" s="67" t="s">
        <v>1195</v>
      </c>
      <c r="I29" s="64"/>
      <c r="J29" s="62" t="s">
        <v>269</v>
      </c>
      <c r="K29" s="62" t="s">
        <v>1117</v>
      </c>
      <c r="L29" s="62">
        <v>3</v>
      </c>
      <c r="M29" s="62">
        <v>0</v>
      </c>
      <c r="N29" s="62" t="s">
        <v>118</v>
      </c>
      <c r="O29" s="64"/>
      <c r="P29" s="62"/>
      <c r="Q29" s="62" t="s">
        <v>363</v>
      </c>
      <c r="R29" s="62"/>
      <c r="S29" s="62" t="s">
        <v>353</v>
      </c>
      <c r="T29" s="62" t="s">
        <v>364</v>
      </c>
      <c r="U29" s="67" t="s">
        <v>365</v>
      </c>
      <c r="V29" s="67"/>
      <c r="W29" s="65"/>
      <c r="X29" s="89">
        <v>0</v>
      </c>
      <c r="Y29" s="66">
        <v>0</v>
      </c>
      <c r="Z29" s="66">
        <v>0</v>
      </c>
      <c r="AA29" s="93">
        <v>0</v>
      </c>
      <c r="AB29" s="98">
        <v>0</v>
      </c>
      <c r="AC29" s="102">
        <v>0</v>
      </c>
    </row>
    <row r="30" spans="1:29" s="58" customFormat="1" ht="18" customHeight="1" x14ac:dyDescent="0.2">
      <c r="A30" s="67" t="s">
        <v>1381</v>
      </c>
      <c r="B30" s="67">
        <v>96841310</v>
      </c>
      <c r="C30" s="61" t="s">
        <v>188</v>
      </c>
      <c r="D30" s="62" t="s">
        <v>419</v>
      </c>
      <c r="E30" s="63" t="s">
        <v>416</v>
      </c>
      <c r="F30" s="62" t="s">
        <v>1254</v>
      </c>
      <c r="G30" s="62" t="s">
        <v>633</v>
      </c>
      <c r="H30" s="67" t="s">
        <v>687</v>
      </c>
      <c r="I30" s="64"/>
      <c r="J30" s="62" t="s">
        <v>1134</v>
      </c>
      <c r="K30" s="68">
        <v>41619</v>
      </c>
      <c r="L30" s="62">
        <v>1</v>
      </c>
      <c r="M30" s="62">
        <v>0</v>
      </c>
      <c r="N30" s="62" t="s">
        <v>417</v>
      </c>
      <c r="O30" s="64"/>
      <c r="P30" s="62"/>
      <c r="Q30" s="62" t="s">
        <v>688</v>
      </c>
      <c r="R30" s="62"/>
      <c r="S30" s="62" t="s">
        <v>353</v>
      </c>
      <c r="T30" s="62" t="s">
        <v>418</v>
      </c>
      <c r="U30" s="67" t="s">
        <v>419</v>
      </c>
      <c r="V30" s="67"/>
      <c r="W30" s="65"/>
      <c r="X30" s="89">
        <v>0</v>
      </c>
      <c r="Y30" s="66">
        <v>0</v>
      </c>
      <c r="Z30" s="66">
        <v>0</v>
      </c>
      <c r="AA30" s="93">
        <v>0</v>
      </c>
      <c r="AB30" s="98">
        <v>0</v>
      </c>
      <c r="AC30" s="102">
        <v>345</v>
      </c>
    </row>
    <row r="31" spans="1:29" s="58" customFormat="1" ht="18" customHeight="1" x14ac:dyDescent="0.2">
      <c r="A31" s="67" t="s">
        <v>1380</v>
      </c>
      <c r="B31" s="67">
        <v>98041214</v>
      </c>
      <c r="C31" s="61" t="s">
        <v>238</v>
      </c>
      <c r="D31" s="62" t="s">
        <v>476</v>
      </c>
      <c r="E31" s="63" t="s">
        <v>473</v>
      </c>
      <c r="F31" s="62" t="s">
        <v>1255</v>
      </c>
      <c r="G31" s="62" t="s">
        <v>328</v>
      </c>
      <c r="H31" s="67" t="s">
        <v>1196</v>
      </c>
      <c r="I31" s="64"/>
      <c r="J31" s="62" t="s">
        <v>238</v>
      </c>
      <c r="K31" s="62" t="s">
        <v>366</v>
      </c>
      <c r="L31" s="62">
        <v>3</v>
      </c>
      <c r="M31" s="62">
        <v>0</v>
      </c>
      <c r="N31" s="62" t="s">
        <v>474</v>
      </c>
      <c r="O31" s="64"/>
      <c r="P31" s="62"/>
      <c r="Q31" s="62" t="s">
        <v>836</v>
      </c>
      <c r="R31" s="62"/>
      <c r="S31" s="62" t="s">
        <v>353</v>
      </c>
      <c r="T31" s="62" t="s">
        <v>475</v>
      </c>
      <c r="U31" s="67" t="s">
        <v>476</v>
      </c>
      <c r="V31" s="67" t="s">
        <v>101</v>
      </c>
      <c r="W31" s="65"/>
      <c r="X31" s="89">
        <v>0</v>
      </c>
      <c r="Y31" s="66">
        <v>0</v>
      </c>
      <c r="Z31" s="66">
        <v>0</v>
      </c>
      <c r="AA31" s="93">
        <v>0</v>
      </c>
      <c r="AB31" s="98">
        <v>0</v>
      </c>
      <c r="AC31" s="102">
        <v>0</v>
      </c>
    </row>
    <row r="32" spans="1:29" s="58" customFormat="1" ht="18" customHeight="1" x14ac:dyDescent="0.2">
      <c r="A32" s="67" t="s">
        <v>55</v>
      </c>
      <c r="B32" s="67">
        <v>100264102</v>
      </c>
      <c r="C32" s="61" t="s">
        <v>186</v>
      </c>
      <c r="D32" s="62" t="s">
        <v>409</v>
      </c>
      <c r="E32" s="63" t="s">
        <v>187</v>
      </c>
      <c r="F32" s="62" t="s">
        <v>1256</v>
      </c>
      <c r="G32" s="62" t="s">
        <v>633</v>
      </c>
      <c r="H32" s="67" t="s">
        <v>410</v>
      </c>
      <c r="I32" s="64"/>
      <c r="J32" s="62" t="s">
        <v>411</v>
      </c>
      <c r="K32" s="62" t="s">
        <v>1036</v>
      </c>
      <c r="L32" s="62">
        <v>3</v>
      </c>
      <c r="M32" s="62">
        <v>0</v>
      </c>
      <c r="N32" s="62" t="s">
        <v>412</v>
      </c>
      <c r="O32" s="64"/>
      <c r="P32" s="62"/>
      <c r="Q32" s="62" t="s">
        <v>363</v>
      </c>
      <c r="R32" s="62"/>
      <c r="S32" s="62" t="s">
        <v>413</v>
      </c>
      <c r="T32" s="62"/>
      <c r="U32" s="67" t="s">
        <v>414</v>
      </c>
      <c r="V32" s="67" t="s">
        <v>415</v>
      </c>
      <c r="W32" s="65"/>
      <c r="X32" s="89">
        <v>0</v>
      </c>
      <c r="Y32" s="66">
        <v>0</v>
      </c>
      <c r="Z32" s="66">
        <v>0</v>
      </c>
      <c r="AA32" s="93">
        <v>0</v>
      </c>
      <c r="AB32" s="98">
        <v>0</v>
      </c>
      <c r="AC32" s="102">
        <v>37.949999999999996</v>
      </c>
    </row>
    <row r="33" spans="1:29" s="58" customFormat="1" ht="18" customHeight="1" x14ac:dyDescent="0.2">
      <c r="A33" s="67" t="s">
        <v>76</v>
      </c>
      <c r="B33" s="67">
        <v>102705084</v>
      </c>
      <c r="C33" s="61" t="s">
        <v>279</v>
      </c>
      <c r="D33" s="62" t="s">
        <v>608</v>
      </c>
      <c r="E33" s="63" t="s">
        <v>280</v>
      </c>
      <c r="F33" s="62">
        <v>84092579</v>
      </c>
      <c r="G33" s="62" t="s">
        <v>328</v>
      </c>
      <c r="H33" s="67" t="s">
        <v>281</v>
      </c>
      <c r="I33" s="64"/>
      <c r="J33" s="62" t="s">
        <v>368</v>
      </c>
      <c r="K33" s="62" t="s">
        <v>103</v>
      </c>
      <c r="L33" s="62">
        <v>3</v>
      </c>
      <c r="M33" s="62">
        <v>0</v>
      </c>
      <c r="N33" s="62" t="s">
        <v>960</v>
      </c>
      <c r="O33" s="64"/>
      <c r="P33" s="62"/>
      <c r="Q33" s="62" t="s">
        <v>944</v>
      </c>
      <c r="R33" s="62"/>
      <c r="S33" s="62" t="s">
        <v>344</v>
      </c>
      <c r="T33" s="62"/>
      <c r="U33" s="67" t="s">
        <v>370</v>
      </c>
      <c r="V33" s="67" t="s">
        <v>354</v>
      </c>
      <c r="W33" s="65"/>
      <c r="X33" s="89">
        <v>64</v>
      </c>
      <c r="Y33" s="66">
        <v>62</v>
      </c>
      <c r="Z33" s="66">
        <v>2</v>
      </c>
      <c r="AA33" s="93">
        <v>0.96875</v>
      </c>
      <c r="AB33" s="98">
        <v>1573360</v>
      </c>
      <c r="AC33" s="102">
        <v>36.799999999999997</v>
      </c>
    </row>
    <row r="34" spans="1:29" s="58" customFormat="1" ht="18" customHeight="1" x14ac:dyDescent="0.2">
      <c r="A34" s="69" t="s">
        <v>657</v>
      </c>
      <c r="B34" s="69">
        <v>105297769</v>
      </c>
      <c r="C34" s="69" t="s">
        <v>1342</v>
      </c>
      <c r="D34" s="62" t="s">
        <v>370</v>
      </c>
      <c r="E34" s="63" t="s">
        <v>903</v>
      </c>
      <c r="F34" s="63">
        <v>950866511</v>
      </c>
      <c r="G34" s="62" t="s">
        <v>725</v>
      </c>
      <c r="H34" s="77" t="s">
        <v>904</v>
      </c>
      <c r="I34" s="63"/>
      <c r="J34" s="63" t="s">
        <v>905</v>
      </c>
      <c r="K34" s="63"/>
      <c r="L34" s="63">
        <v>3</v>
      </c>
      <c r="M34" s="63"/>
      <c r="N34" s="63" t="s">
        <v>336</v>
      </c>
      <c r="O34" s="63"/>
      <c r="P34" s="63"/>
      <c r="Q34" s="63" t="s">
        <v>906</v>
      </c>
      <c r="R34" s="63">
        <v>0</v>
      </c>
      <c r="S34" s="63" t="s">
        <v>344</v>
      </c>
      <c r="T34" s="63" t="s">
        <v>907</v>
      </c>
      <c r="U34" s="69"/>
      <c r="V34" s="69"/>
      <c r="W34" s="65"/>
      <c r="X34" s="89">
        <v>96</v>
      </c>
      <c r="Y34" s="66">
        <v>70</v>
      </c>
      <c r="Z34" s="66">
        <v>26</v>
      </c>
      <c r="AA34" s="93">
        <v>0.72916666666666663</v>
      </c>
      <c r="AB34" s="98">
        <v>2423040</v>
      </c>
      <c r="AC34" s="102">
        <v>70.149999999999991</v>
      </c>
    </row>
    <row r="35" spans="1:29" s="58" customFormat="1" ht="18" customHeight="1" x14ac:dyDescent="0.2">
      <c r="A35" s="67" t="s">
        <v>81</v>
      </c>
      <c r="B35" s="67">
        <v>107776842</v>
      </c>
      <c r="C35" s="61" t="s">
        <v>299</v>
      </c>
      <c r="D35" s="62" t="s">
        <v>1306</v>
      </c>
      <c r="E35" s="63" t="s">
        <v>300</v>
      </c>
      <c r="F35" s="62" t="s">
        <v>1257</v>
      </c>
      <c r="G35" s="62" t="s">
        <v>286</v>
      </c>
      <c r="H35" s="67" t="s">
        <v>1197</v>
      </c>
      <c r="I35" s="64"/>
      <c r="J35" s="62" t="s">
        <v>1036</v>
      </c>
      <c r="K35" s="62" t="s">
        <v>1036</v>
      </c>
      <c r="L35" s="62">
        <v>4</v>
      </c>
      <c r="M35" s="62">
        <v>0</v>
      </c>
      <c r="N35" s="62" t="s">
        <v>546</v>
      </c>
      <c r="O35" s="64"/>
      <c r="P35" s="62"/>
      <c r="Q35" s="62" t="s">
        <v>836</v>
      </c>
      <c r="R35" s="62"/>
      <c r="S35" s="62" t="s">
        <v>353</v>
      </c>
      <c r="T35" s="62"/>
      <c r="U35" s="67"/>
      <c r="V35" s="67"/>
      <c r="W35" s="65"/>
      <c r="X35" s="89">
        <v>0</v>
      </c>
      <c r="Y35" s="66">
        <v>0</v>
      </c>
      <c r="Z35" s="66">
        <v>0</v>
      </c>
      <c r="AA35" s="93">
        <v>0</v>
      </c>
      <c r="AB35" s="98">
        <v>0</v>
      </c>
      <c r="AC35" s="102">
        <v>0</v>
      </c>
    </row>
    <row r="36" spans="1:29" s="58" customFormat="1" ht="18" customHeight="1" x14ac:dyDescent="0.2">
      <c r="A36" s="67" t="s">
        <v>78</v>
      </c>
      <c r="B36" s="67" t="s">
        <v>1362</v>
      </c>
      <c r="C36" s="61" t="s">
        <v>283</v>
      </c>
      <c r="D36" s="62" t="s">
        <v>1319</v>
      </c>
      <c r="E36" s="63" t="s">
        <v>371</v>
      </c>
      <c r="F36" s="62" t="s">
        <v>1258</v>
      </c>
      <c r="G36" s="62" t="s">
        <v>328</v>
      </c>
      <c r="H36" s="67" t="s">
        <v>1198</v>
      </c>
      <c r="I36" s="64"/>
      <c r="J36" s="62" t="s">
        <v>1135</v>
      </c>
      <c r="K36" s="62" t="s">
        <v>140</v>
      </c>
      <c r="L36" s="62">
        <v>1</v>
      </c>
      <c r="M36" s="62">
        <v>0</v>
      </c>
      <c r="N36" s="62" t="s">
        <v>340</v>
      </c>
      <c r="O36" s="64"/>
      <c r="P36" s="75">
        <v>0.05</v>
      </c>
      <c r="Q36" s="62" t="s">
        <v>690</v>
      </c>
      <c r="R36" s="62"/>
      <c r="S36" s="62"/>
      <c r="T36" s="62" t="s">
        <v>600</v>
      </c>
      <c r="U36" s="67" t="s">
        <v>564</v>
      </c>
      <c r="V36" s="67" t="s">
        <v>372</v>
      </c>
      <c r="W36" s="65"/>
      <c r="X36" s="89">
        <v>58</v>
      </c>
      <c r="Y36" s="66">
        <v>56</v>
      </c>
      <c r="Z36" s="66">
        <v>2</v>
      </c>
      <c r="AA36" s="93">
        <v>0.96551724137931039</v>
      </c>
      <c r="AB36" s="98">
        <v>1441420</v>
      </c>
      <c r="AC36" s="102">
        <v>49.449999999999996</v>
      </c>
    </row>
    <row r="37" spans="1:29" s="58" customFormat="1" ht="18" customHeight="1" x14ac:dyDescent="0.2">
      <c r="A37" s="67" t="s">
        <v>77</v>
      </c>
      <c r="B37" s="67">
        <v>113540494</v>
      </c>
      <c r="C37" s="61" t="s">
        <v>282</v>
      </c>
      <c r="D37" s="62" t="s">
        <v>1320</v>
      </c>
      <c r="E37" s="63" t="s">
        <v>373</v>
      </c>
      <c r="F37" s="62" t="s">
        <v>1259</v>
      </c>
      <c r="G37" s="62" t="s">
        <v>328</v>
      </c>
      <c r="H37" s="67" t="s">
        <v>1199</v>
      </c>
      <c r="I37" s="64"/>
      <c r="J37" s="62" t="s">
        <v>374</v>
      </c>
      <c r="K37" s="62" t="s">
        <v>1036</v>
      </c>
      <c r="L37" s="62">
        <v>3</v>
      </c>
      <c r="M37" s="62">
        <v>0</v>
      </c>
      <c r="N37" s="62" t="s">
        <v>400</v>
      </c>
      <c r="O37" s="64"/>
      <c r="P37" s="62"/>
      <c r="Q37" s="62" t="s">
        <v>836</v>
      </c>
      <c r="R37" s="62"/>
      <c r="S37" s="62" t="s">
        <v>344</v>
      </c>
      <c r="T37" s="62" t="s">
        <v>375</v>
      </c>
      <c r="U37" s="67" t="s">
        <v>370</v>
      </c>
      <c r="V37" s="67"/>
      <c r="W37" s="65"/>
      <c r="X37" s="89">
        <v>0</v>
      </c>
      <c r="Y37" s="66">
        <v>0</v>
      </c>
      <c r="Z37" s="66">
        <v>0</v>
      </c>
      <c r="AA37" s="93">
        <v>0</v>
      </c>
      <c r="AB37" s="98">
        <v>0</v>
      </c>
      <c r="AC37" s="102">
        <v>0</v>
      </c>
    </row>
    <row r="38" spans="1:29" s="60" customFormat="1" ht="18" customHeight="1" x14ac:dyDescent="0.2">
      <c r="A38" s="67" t="s">
        <v>53</v>
      </c>
      <c r="B38" s="67">
        <v>114079979</v>
      </c>
      <c r="C38" s="61" t="s">
        <v>180</v>
      </c>
      <c r="D38" s="62" t="s">
        <v>1320</v>
      </c>
      <c r="E38" s="63" t="s">
        <v>181</v>
      </c>
      <c r="F38" s="62" t="s">
        <v>1260</v>
      </c>
      <c r="G38" s="62" t="s">
        <v>328</v>
      </c>
      <c r="H38" s="67" t="s">
        <v>1200</v>
      </c>
      <c r="I38" s="64"/>
      <c r="J38" s="62" t="s">
        <v>1136</v>
      </c>
      <c r="K38" s="62" t="s">
        <v>366</v>
      </c>
      <c r="L38" s="62">
        <v>3</v>
      </c>
      <c r="M38" s="62">
        <v>0</v>
      </c>
      <c r="N38" s="62"/>
      <c r="O38" s="64"/>
      <c r="P38" s="62"/>
      <c r="Q38" s="62" t="s">
        <v>836</v>
      </c>
      <c r="R38" s="62"/>
      <c r="S38" s="62"/>
      <c r="T38" s="62"/>
      <c r="U38" s="67"/>
      <c r="V38" s="67" t="s">
        <v>182</v>
      </c>
      <c r="W38" s="65"/>
      <c r="X38" s="89">
        <v>73</v>
      </c>
      <c r="Y38" s="66">
        <v>63</v>
      </c>
      <c r="Z38" s="66">
        <v>10</v>
      </c>
      <c r="AA38" s="93">
        <v>0.86301369863013699</v>
      </c>
      <c r="AB38" s="98">
        <v>1798270</v>
      </c>
      <c r="AC38" s="102">
        <v>50.599999999999994</v>
      </c>
    </row>
    <row r="39" spans="1:29" s="58" customFormat="1" ht="18" customHeight="1" x14ac:dyDescent="0.2">
      <c r="A39" s="67" t="s">
        <v>40</v>
      </c>
      <c r="B39" s="67">
        <v>115643592</v>
      </c>
      <c r="C39" s="61" t="s">
        <v>142</v>
      </c>
      <c r="D39" s="62" t="s">
        <v>1321</v>
      </c>
      <c r="E39" s="63" t="s">
        <v>143</v>
      </c>
      <c r="F39" s="62" t="s">
        <v>1261</v>
      </c>
      <c r="G39" s="62" t="s">
        <v>328</v>
      </c>
      <c r="H39" s="76" t="s">
        <v>594</v>
      </c>
      <c r="I39" s="64"/>
      <c r="J39" s="62" t="s">
        <v>1137</v>
      </c>
      <c r="K39" s="62" t="s">
        <v>103</v>
      </c>
      <c r="L39" s="62">
        <v>1</v>
      </c>
      <c r="M39" s="62">
        <v>0</v>
      </c>
      <c r="N39" s="62" t="s">
        <v>351</v>
      </c>
      <c r="O39" s="64"/>
      <c r="P39" s="75">
        <v>0.05</v>
      </c>
      <c r="Q39" s="62" t="s">
        <v>690</v>
      </c>
      <c r="R39" s="62">
        <v>98376422</v>
      </c>
      <c r="S39" s="62" t="s">
        <v>494</v>
      </c>
      <c r="T39" s="62" t="s">
        <v>595</v>
      </c>
      <c r="U39" s="67" t="s">
        <v>402</v>
      </c>
      <c r="V39" s="67" t="s">
        <v>144</v>
      </c>
      <c r="W39" s="65"/>
      <c r="X39" s="89">
        <v>480</v>
      </c>
      <c r="Y39" s="66">
        <v>446</v>
      </c>
      <c r="Z39" s="66">
        <v>34</v>
      </c>
      <c r="AA39" s="93">
        <v>0.9291666666666667</v>
      </c>
      <c r="AB39" s="98">
        <v>11887200</v>
      </c>
      <c r="AC39" s="102">
        <v>500.24999999999994</v>
      </c>
    </row>
    <row r="40" spans="1:29" s="58" customFormat="1" ht="18" customHeight="1" x14ac:dyDescent="0.2">
      <c r="A40" s="67" t="s">
        <v>42</v>
      </c>
      <c r="B40" s="67">
        <v>116841290</v>
      </c>
      <c r="C40" s="61" t="s">
        <v>147</v>
      </c>
      <c r="D40" s="62" t="s">
        <v>674</v>
      </c>
      <c r="E40" s="63" t="s">
        <v>148</v>
      </c>
      <c r="F40" s="62"/>
      <c r="G40" s="62" t="s">
        <v>328</v>
      </c>
      <c r="H40" s="67" t="s">
        <v>1201</v>
      </c>
      <c r="I40" s="64"/>
      <c r="J40" s="62" t="s">
        <v>1138</v>
      </c>
      <c r="K40" s="62" t="s">
        <v>1113</v>
      </c>
      <c r="L40" s="62">
        <v>1</v>
      </c>
      <c r="M40" s="62">
        <v>0</v>
      </c>
      <c r="N40" s="62" t="s">
        <v>351</v>
      </c>
      <c r="O40" s="64"/>
      <c r="P40" s="62"/>
      <c r="Q40" s="62" t="s">
        <v>497</v>
      </c>
      <c r="R40" s="62" t="s">
        <v>1111</v>
      </c>
      <c r="S40" s="62" t="s">
        <v>498</v>
      </c>
      <c r="T40" s="62" t="s">
        <v>499</v>
      </c>
      <c r="U40" s="67" t="s">
        <v>331</v>
      </c>
      <c r="V40" s="67" t="s">
        <v>149</v>
      </c>
      <c r="W40" s="65"/>
      <c r="X40" s="89">
        <v>335</v>
      </c>
      <c r="Y40" s="66">
        <v>330</v>
      </c>
      <c r="Z40" s="66">
        <v>5</v>
      </c>
      <c r="AA40" s="93">
        <v>0.9850746268656716</v>
      </c>
      <c r="AB40" s="98">
        <v>8369650</v>
      </c>
      <c r="AC40" s="102">
        <v>385.24999999999994</v>
      </c>
    </row>
    <row r="41" spans="1:29" s="58" customFormat="1" ht="18" customHeight="1" x14ac:dyDescent="0.2">
      <c r="A41" s="67" t="s">
        <v>59</v>
      </c>
      <c r="B41" s="67">
        <v>120037366</v>
      </c>
      <c r="C41" s="61" t="s">
        <v>198</v>
      </c>
      <c r="D41" s="62" t="s">
        <v>199</v>
      </c>
      <c r="E41" s="63" t="s">
        <v>200</v>
      </c>
      <c r="F41" s="62" t="s">
        <v>1262</v>
      </c>
      <c r="G41" s="62" t="s">
        <v>633</v>
      </c>
      <c r="H41" s="67" t="s">
        <v>1202</v>
      </c>
      <c r="I41" s="64"/>
      <c r="J41" s="62" t="s">
        <v>1139</v>
      </c>
      <c r="K41" s="62" t="s">
        <v>1036</v>
      </c>
      <c r="L41" s="62">
        <v>3</v>
      </c>
      <c r="M41" s="62">
        <v>0</v>
      </c>
      <c r="N41" s="62" t="s">
        <v>425</v>
      </c>
      <c r="O41" s="64"/>
      <c r="P41" s="62"/>
      <c r="Q41" s="62" t="s">
        <v>363</v>
      </c>
      <c r="R41" s="62"/>
      <c r="S41" s="62" t="s">
        <v>353</v>
      </c>
      <c r="T41" s="62" t="s">
        <v>427</v>
      </c>
      <c r="U41" s="67" t="s">
        <v>428</v>
      </c>
      <c r="V41" s="67"/>
      <c r="W41" s="65"/>
      <c r="X41" s="89">
        <v>182</v>
      </c>
      <c r="Y41" s="66">
        <v>181</v>
      </c>
      <c r="Z41" s="66">
        <v>1</v>
      </c>
      <c r="AA41" s="93">
        <v>0.99450549450549453</v>
      </c>
      <c r="AB41" s="98">
        <v>4475180</v>
      </c>
      <c r="AC41" s="102">
        <v>218.49999999999997</v>
      </c>
    </row>
    <row r="42" spans="1:29" s="58" customFormat="1" ht="18" customHeight="1" x14ac:dyDescent="0.2">
      <c r="A42" s="67" t="s">
        <v>69</v>
      </c>
      <c r="B42" s="67">
        <v>123232399</v>
      </c>
      <c r="C42" s="61" t="s">
        <v>243</v>
      </c>
      <c r="D42" s="62" t="s">
        <v>1322</v>
      </c>
      <c r="E42" s="63" t="s">
        <v>244</v>
      </c>
      <c r="F42" s="62" t="s">
        <v>1263</v>
      </c>
      <c r="G42" s="62" t="s">
        <v>328</v>
      </c>
      <c r="H42" s="67" t="s">
        <v>1203</v>
      </c>
      <c r="I42" s="64"/>
      <c r="J42" s="62" t="s">
        <v>1140</v>
      </c>
      <c r="K42" s="62" t="s">
        <v>245</v>
      </c>
      <c r="L42" s="62">
        <v>3</v>
      </c>
      <c r="M42" s="62">
        <v>0</v>
      </c>
      <c r="N42" s="62" t="s">
        <v>340</v>
      </c>
      <c r="O42" s="64"/>
      <c r="P42" s="62"/>
      <c r="Q42" s="62" t="s">
        <v>690</v>
      </c>
      <c r="R42" s="62"/>
      <c r="S42" s="62" t="s">
        <v>344</v>
      </c>
      <c r="T42" s="62" t="s">
        <v>376</v>
      </c>
      <c r="U42" s="67" t="s">
        <v>324</v>
      </c>
      <c r="V42" s="67" t="s">
        <v>354</v>
      </c>
      <c r="W42" s="65"/>
      <c r="X42" s="89">
        <v>0</v>
      </c>
      <c r="Y42" s="66">
        <v>0</v>
      </c>
      <c r="Z42" s="66">
        <v>0</v>
      </c>
      <c r="AA42" s="93">
        <v>0</v>
      </c>
      <c r="AB42" s="98">
        <v>0</v>
      </c>
      <c r="AC42" s="102">
        <v>0</v>
      </c>
    </row>
    <row r="43" spans="1:29" s="58" customFormat="1" ht="18" customHeight="1" x14ac:dyDescent="0.2">
      <c r="A43" s="69" t="s">
        <v>658</v>
      </c>
      <c r="B43" s="69">
        <v>124953200</v>
      </c>
      <c r="C43" s="69" t="s">
        <v>659</v>
      </c>
      <c r="D43" s="62" t="s">
        <v>649</v>
      </c>
      <c r="E43" s="63" t="s">
        <v>837</v>
      </c>
      <c r="F43" s="63">
        <v>97491171</v>
      </c>
      <c r="G43" s="62" t="s">
        <v>438</v>
      </c>
      <c r="H43" s="67"/>
      <c r="I43" s="63"/>
      <c r="J43" s="63"/>
      <c r="K43" s="63"/>
      <c r="L43" s="63">
        <v>1</v>
      </c>
      <c r="M43" s="63"/>
      <c r="N43" s="63" t="s">
        <v>121</v>
      </c>
      <c r="O43" s="63"/>
      <c r="P43" s="63"/>
      <c r="Q43" s="63" t="s">
        <v>690</v>
      </c>
      <c r="R43" s="63">
        <v>0</v>
      </c>
      <c r="S43" s="63"/>
      <c r="T43" s="63" t="s">
        <v>838</v>
      </c>
      <c r="U43" s="69"/>
      <c r="V43" s="69"/>
      <c r="W43" s="65"/>
      <c r="X43" s="89">
        <v>0</v>
      </c>
      <c r="Y43" s="66">
        <v>0</v>
      </c>
      <c r="Z43" s="66">
        <v>0</v>
      </c>
      <c r="AA43" s="93">
        <v>0</v>
      </c>
      <c r="AB43" s="98">
        <v>0</v>
      </c>
      <c r="AC43" s="102">
        <v>0</v>
      </c>
    </row>
    <row r="44" spans="1:29" s="58" customFormat="1" ht="18" customHeight="1" x14ac:dyDescent="0.2">
      <c r="A44" s="67" t="s">
        <v>618</v>
      </c>
      <c r="B44" s="67" t="s">
        <v>1363</v>
      </c>
      <c r="C44" s="61" t="s">
        <v>1343</v>
      </c>
      <c r="D44" s="62" t="s">
        <v>1323</v>
      </c>
      <c r="E44" s="61" t="s">
        <v>617</v>
      </c>
      <c r="F44" s="62" t="s">
        <v>1264</v>
      </c>
      <c r="G44" s="62" t="s">
        <v>286</v>
      </c>
      <c r="H44" s="67" t="s">
        <v>1204</v>
      </c>
      <c r="I44" s="62"/>
      <c r="J44" s="70"/>
      <c r="K44" s="70"/>
      <c r="L44" s="62"/>
      <c r="M44" s="62"/>
      <c r="N44" s="62" t="s">
        <v>732</v>
      </c>
      <c r="O44" s="64"/>
      <c r="P44" s="62"/>
      <c r="Q44" s="71" t="s">
        <v>844</v>
      </c>
      <c r="R44" s="71"/>
      <c r="S44" s="71"/>
      <c r="T44" s="71"/>
      <c r="U44" s="74"/>
      <c r="V44" s="74"/>
      <c r="W44" s="65"/>
      <c r="X44" s="89">
        <v>61</v>
      </c>
      <c r="Y44" s="66">
        <v>46</v>
      </c>
      <c r="Z44" s="66">
        <v>15</v>
      </c>
      <c r="AA44" s="93">
        <v>0.75409836065573765</v>
      </c>
      <c r="AB44" s="98">
        <v>1505390</v>
      </c>
      <c r="AC44" s="102">
        <v>60.949999999999996</v>
      </c>
    </row>
    <row r="45" spans="1:29" s="58" customFormat="1" ht="18" customHeight="1" x14ac:dyDescent="0.2">
      <c r="A45" s="67" t="s">
        <v>52</v>
      </c>
      <c r="B45" s="67">
        <v>144052439</v>
      </c>
      <c r="C45" s="61" t="s">
        <v>174</v>
      </c>
      <c r="D45" s="62" t="s">
        <v>325</v>
      </c>
      <c r="E45" s="63" t="s">
        <v>528</v>
      </c>
      <c r="F45" s="62">
        <v>953815405</v>
      </c>
      <c r="G45" s="62" t="s">
        <v>328</v>
      </c>
      <c r="H45" s="77" t="s">
        <v>839</v>
      </c>
      <c r="I45" s="64"/>
      <c r="J45" s="62" t="s">
        <v>1141</v>
      </c>
      <c r="K45" s="62" t="s">
        <v>103</v>
      </c>
      <c r="L45" s="62">
        <v>1</v>
      </c>
      <c r="M45" s="62">
        <v>0</v>
      </c>
      <c r="N45" s="62" t="s">
        <v>351</v>
      </c>
      <c r="O45" s="64"/>
      <c r="P45" s="75"/>
      <c r="Q45" s="62" t="s">
        <v>1765</v>
      </c>
      <c r="R45" s="62">
        <v>953815405</v>
      </c>
      <c r="S45" s="62" t="s">
        <v>344</v>
      </c>
      <c r="T45" s="62" t="s">
        <v>529</v>
      </c>
      <c r="U45" s="67" t="s">
        <v>325</v>
      </c>
      <c r="V45" s="67" t="s">
        <v>175</v>
      </c>
      <c r="W45" s="65"/>
      <c r="X45" s="89">
        <v>525</v>
      </c>
      <c r="Y45" s="66">
        <v>355</v>
      </c>
      <c r="Z45" s="66">
        <v>170</v>
      </c>
      <c r="AA45" s="93">
        <v>0.67619047619047623</v>
      </c>
      <c r="AB45" s="98">
        <v>13305750</v>
      </c>
      <c r="AC45" s="102">
        <v>608.34999999999991</v>
      </c>
    </row>
    <row r="46" spans="1:29" s="60" customFormat="1" ht="18" customHeight="1" x14ac:dyDescent="0.2">
      <c r="A46" s="67" t="s">
        <v>622</v>
      </c>
      <c r="B46" s="67">
        <v>149056823</v>
      </c>
      <c r="C46" s="61" t="s">
        <v>621</v>
      </c>
      <c r="D46" s="62" t="s">
        <v>635</v>
      </c>
      <c r="E46" s="63" t="s">
        <v>623</v>
      </c>
      <c r="F46" s="62">
        <v>950089698</v>
      </c>
      <c r="G46" s="62" t="s">
        <v>725</v>
      </c>
      <c r="H46" s="77" t="s">
        <v>803</v>
      </c>
      <c r="I46" s="62"/>
      <c r="J46" s="70" t="s">
        <v>624</v>
      </c>
      <c r="K46" s="70"/>
      <c r="L46" s="62">
        <v>1</v>
      </c>
      <c r="M46" s="62"/>
      <c r="N46" s="62" t="s">
        <v>351</v>
      </c>
      <c r="O46" s="64"/>
      <c r="P46" s="62"/>
      <c r="Q46" s="71" t="s">
        <v>690</v>
      </c>
      <c r="R46" s="71"/>
      <c r="S46" s="71" t="s">
        <v>625</v>
      </c>
      <c r="T46" s="71" t="s">
        <v>626</v>
      </c>
      <c r="U46" s="74" t="s">
        <v>627</v>
      </c>
      <c r="V46" s="74"/>
      <c r="W46" s="65"/>
      <c r="X46" s="89">
        <v>0</v>
      </c>
      <c r="Y46" s="66">
        <v>0</v>
      </c>
      <c r="Z46" s="66">
        <v>0</v>
      </c>
      <c r="AA46" s="93">
        <v>0</v>
      </c>
      <c r="AB46" s="98">
        <v>0</v>
      </c>
      <c r="AC46" s="102">
        <v>16.099999999999998</v>
      </c>
    </row>
    <row r="47" spans="1:29" s="58" customFormat="1" ht="18" customHeight="1" x14ac:dyDescent="0.2">
      <c r="A47" s="67" t="s">
        <v>500</v>
      </c>
      <c r="B47" s="67">
        <v>156273155</v>
      </c>
      <c r="C47" s="61" t="s">
        <v>501</v>
      </c>
      <c r="D47" s="62" t="s">
        <v>349</v>
      </c>
      <c r="E47" s="63" t="s">
        <v>502</v>
      </c>
      <c r="F47" s="62"/>
      <c r="G47" s="62" t="s">
        <v>328</v>
      </c>
      <c r="H47" s="76" t="s">
        <v>503</v>
      </c>
      <c r="I47" s="64"/>
      <c r="J47" s="62" t="s">
        <v>504</v>
      </c>
      <c r="K47" s="62"/>
      <c r="L47" s="62">
        <v>1</v>
      </c>
      <c r="M47" s="62"/>
      <c r="N47" s="62" t="s">
        <v>406</v>
      </c>
      <c r="O47" s="64"/>
      <c r="P47" s="75">
        <v>0</v>
      </c>
      <c r="Q47" s="62" t="s">
        <v>836</v>
      </c>
      <c r="R47" s="62">
        <v>77999446</v>
      </c>
      <c r="S47" s="62" t="s">
        <v>344</v>
      </c>
      <c r="T47" s="62" t="s">
        <v>505</v>
      </c>
      <c r="U47" s="67" t="s">
        <v>349</v>
      </c>
      <c r="V47" s="67"/>
      <c r="W47" s="65"/>
      <c r="X47" s="89">
        <v>0</v>
      </c>
      <c r="Y47" s="66">
        <v>0</v>
      </c>
      <c r="Z47" s="66">
        <v>0</v>
      </c>
      <c r="AA47" s="93">
        <v>0</v>
      </c>
      <c r="AB47" s="98">
        <v>0</v>
      </c>
      <c r="AC47" s="102">
        <v>0</v>
      </c>
    </row>
    <row r="48" spans="1:29" s="58" customFormat="1" ht="18" customHeight="1" x14ac:dyDescent="0.2">
      <c r="A48" s="69" t="s">
        <v>643</v>
      </c>
      <c r="B48" s="69">
        <v>158149346</v>
      </c>
      <c r="C48" s="69" t="s">
        <v>1344</v>
      </c>
      <c r="D48" s="62" t="s">
        <v>442</v>
      </c>
      <c r="E48" s="63" t="s">
        <v>908</v>
      </c>
      <c r="F48" s="63"/>
      <c r="G48" s="62" t="s">
        <v>725</v>
      </c>
      <c r="H48" s="67"/>
      <c r="I48" s="63"/>
      <c r="J48" s="63"/>
      <c r="K48" s="63"/>
      <c r="L48" s="63"/>
      <c r="M48" s="63"/>
      <c r="N48" s="63"/>
      <c r="O48" s="63"/>
      <c r="P48" s="63"/>
      <c r="Q48" s="63" t="s">
        <v>690</v>
      </c>
      <c r="R48" s="63">
        <v>0</v>
      </c>
      <c r="S48" s="63"/>
      <c r="T48" s="63"/>
      <c r="U48" s="69"/>
      <c r="V48" s="69"/>
      <c r="W48" s="65"/>
      <c r="X48" s="89">
        <v>0</v>
      </c>
      <c r="Y48" s="66">
        <v>0</v>
      </c>
      <c r="Z48" s="66">
        <v>0</v>
      </c>
      <c r="AA48" s="93">
        <v>0</v>
      </c>
      <c r="AB48" s="98">
        <v>0</v>
      </c>
      <c r="AC48" s="102">
        <v>0</v>
      </c>
    </row>
    <row r="49" spans="1:29" s="58" customFormat="1" ht="18" customHeight="1" x14ac:dyDescent="0.2">
      <c r="A49" s="67" t="s">
        <v>567</v>
      </c>
      <c r="B49" s="67" t="s">
        <v>1364</v>
      </c>
      <c r="C49" s="61" t="s">
        <v>212</v>
      </c>
      <c r="D49" s="62" t="s">
        <v>430</v>
      </c>
      <c r="E49" s="63" t="s">
        <v>573</v>
      </c>
      <c r="F49" s="62" t="s">
        <v>574</v>
      </c>
      <c r="G49" s="62" t="s">
        <v>633</v>
      </c>
      <c r="H49" s="67" t="s">
        <v>693</v>
      </c>
      <c r="I49" s="64"/>
      <c r="J49" s="62" t="s">
        <v>694</v>
      </c>
      <c r="K49" s="62"/>
      <c r="L49" s="62">
        <v>3</v>
      </c>
      <c r="M49" s="62"/>
      <c r="N49" s="62" t="s">
        <v>425</v>
      </c>
      <c r="O49" s="64"/>
      <c r="P49" s="62"/>
      <c r="Q49" s="62" t="s">
        <v>363</v>
      </c>
      <c r="R49" s="62" t="s">
        <v>695</v>
      </c>
      <c r="S49" s="62" t="s">
        <v>353</v>
      </c>
      <c r="T49" s="62" t="s">
        <v>575</v>
      </c>
      <c r="U49" s="67" t="s">
        <v>430</v>
      </c>
      <c r="V49" s="67"/>
      <c r="W49" s="65"/>
      <c r="X49" s="89">
        <v>80</v>
      </c>
      <c r="Y49" s="66">
        <v>22</v>
      </c>
      <c r="Z49" s="66">
        <v>58</v>
      </c>
      <c r="AA49" s="93">
        <v>0.27500000000000002</v>
      </c>
      <c r="AB49" s="98">
        <v>2010200</v>
      </c>
      <c r="AC49" s="102">
        <v>124.19999999999999</v>
      </c>
    </row>
    <row r="50" spans="1:29" s="58" customFormat="1" ht="18" customHeight="1" x14ac:dyDescent="0.2">
      <c r="A50" s="67" t="s">
        <v>80</v>
      </c>
      <c r="B50" s="67">
        <v>168685009</v>
      </c>
      <c r="C50" s="61" t="s">
        <v>295</v>
      </c>
      <c r="D50" s="62" t="s">
        <v>1323</v>
      </c>
      <c r="E50" s="63" t="s">
        <v>534</v>
      </c>
      <c r="F50" s="62" t="s">
        <v>535</v>
      </c>
      <c r="G50" s="62" t="s">
        <v>286</v>
      </c>
      <c r="H50" s="67" t="s">
        <v>1205</v>
      </c>
      <c r="I50" s="64"/>
      <c r="J50" s="62" t="s">
        <v>1142</v>
      </c>
      <c r="K50" s="62" t="s">
        <v>1036</v>
      </c>
      <c r="L50" s="62">
        <v>1</v>
      </c>
      <c r="M50" s="62">
        <v>0</v>
      </c>
      <c r="N50" s="62" t="s">
        <v>340</v>
      </c>
      <c r="O50" s="64"/>
      <c r="P50" s="62"/>
      <c r="Q50" s="62" t="s">
        <v>836</v>
      </c>
      <c r="R50" s="62" t="s">
        <v>536</v>
      </c>
      <c r="S50" s="62" t="s">
        <v>344</v>
      </c>
      <c r="T50" s="62" t="s">
        <v>537</v>
      </c>
      <c r="U50" s="67" t="s">
        <v>457</v>
      </c>
      <c r="V50" s="67" t="s">
        <v>538</v>
      </c>
      <c r="W50" s="65"/>
      <c r="X50" s="89">
        <v>0</v>
      </c>
      <c r="Y50" s="66">
        <v>0</v>
      </c>
      <c r="Z50" s="66">
        <v>0</v>
      </c>
      <c r="AA50" s="93">
        <v>0</v>
      </c>
      <c r="AB50" s="98">
        <v>0</v>
      </c>
      <c r="AC50" s="102">
        <v>0</v>
      </c>
    </row>
    <row r="51" spans="1:29" s="58" customFormat="1" ht="18" customHeight="1" x14ac:dyDescent="0.2">
      <c r="A51" s="67" t="s">
        <v>61</v>
      </c>
      <c r="B51" s="67">
        <v>182824534</v>
      </c>
      <c r="C51" s="61" t="s">
        <v>203</v>
      </c>
      <c r="D51" s="62" t="s">
        <v>430</v>
      </c>
      <c r="E51" s="63" t="s">
        <v>204</v>
      </c>
      <c r="F51" s="62" t="s">
        <v>1265</v>
      </c>
      <c r="G51" s="62" t="s">
        <v>633</v>
      </c>
      <c r="H51" s="67" t="s">
        <v>1206</v>
      </c>
      <c r="I51" s="64"/>
      <c r="J51" s="62" t="s">
        <v>1143</v>
      </c>
      <c r="K51" s="62" t="s">
        <v>1036</v>
      </c>
      <c r="L51" s="62">
        <v>3</v>
      </c>
      <c r="M51" s="62">
        <v>0</v>
      </c>
      <c r="N51" s="62" t="s">
        <v>425</v>
      </c>
      <c r="O51" s="64"/>
      <c r="P51" s="62"/>
      <c r="Q51" s="62" t="s">
        <v>836</v>
      </c>
      <c r="R51" s="62"/>
      <c r="S51" s="62" t="s">
        <v>353</v>
      </c>
      <c r="T51" s="62" t="s">
        <v>429</v>
      </c>
      <c r="U51" s="67" t="s">
        <v>430</v>
      </c>
      <c r="V51" s="67"/>
      <c r="W51" s="65"/>
      <c r="X51" s="89">
        <v>0</v>
      </c>
      <c r="Y51" s="66">
        <v>0</v>
      </c>
      <c r="Z51" s="66">
        <v>0</v>
      </c>
      <c r="AA51" s="93">
        <v>0</v>
      </c>
      <c r="AB51" s="98">
        <v>0</v>
      </c>
      <c r="AC51" s="102">
        <v>0</v>
      </c>
    </row>
    <row r="52" spans="1:29" s="58" customFormat="1" ht="18" customHeight="1" x14ac:dyDescent="0.2">
      <c r="A52" s="69" t="s">
        <v>652</v>
      </c>
      <c r="B52" s="69">
        <v>38776460</v>
      </c>
      <c r="C52" s="69" t="s">
        <v>650</v>
      </c>
      <c r="D52" s="62" t="s">
        <v>651</v>
      </c>
      <c r="E52" s="63" t="s">
        <v>825</v>
      </c>
      <c r="F52" s="63">
        <v>942948977</v>
      </c>
      <c r="G52" s="62" t="s">
        <v>328</v>
      </c>
      <c r="H52" s="77" t="s">
        <v>826</v>
      </c>
      <c r="I52" s="63"/>
      <c r="J52" s="63"/>
      <c r="K52" s="63"/>
      <c r="L52" s="63">
        <v>1</v>
      </c>
      <c r="M52" s="63"/>
      <c r="N52" s="63" t="s">
        <v>446</v>
      </c>
      <c r="O52" s="63"/>
      <c r="P52" s="63"/>
      <c r="Q52" s="63" t="s">
        <v>690</v>
      </c>
      <c r="R52" s="63">
        <v>0</v>
      </c>
      <c r="S52" s="63"/>
      <c r="T52" s="63" t="s">
        <v>827</v>
      </c>
      <c r="U52" s="69" t="s">
        <v>651</v>
      </c>
      <c r="V52" s="69"/>
      <c r="W52" s="65"/>
      <c r="X52" s="89">
        <v>0</v>
      </c>
      <c r="Y52" s="66">
        <v>0</v>
      </c>
      <c r="Z52" s="66">
        <v>0</v>
      </c>
      <c r="AA52" s="93">
        <v>0</v>
      </c>
      <c r="AB52" s="98">
        <v>0</v>
      </c>
      <c r="AC52" s="102">
        <v>0</v>
      </c>
    </row>
    <row r="53" spans="1:29" s="58" customFormat="1" ht="18" customHeight="1" x14ac:dyDescent="0.2">
      <c r="A53" s="67" t="s">
        <v>74</v>
      </c>
      <c r="B53" s="67" t="s">
        <v>1365</v>
      </c>
      <c r="C53" s="61" t="s">
        <v>1345</v>
      </c>
      <c r="D53" s="62" t="s">
        <v>381</v>
      </c>
      <c r="E53" s="61" t="s">
        <v>273</v>
      </c>
      <c r="F53" s="62" t="s">
        <v>1266</v>
      </c>
      <c r="G53" s="62" t="s">
        <v>328</v>
      </c>
      <c r="H53" s="67" t="s">
        <v>1207</v>
      </c>
      <c r="I53" s="62"/>
      <c r="J53" s="70"/>
      <c r="K53" s="70"/>
      <c r="L53" s="62">
        <v>3</v>
      </c>
      <c r="M53" s="62"/>
      <c r="N53" s="62" t="s">
        <v>351</v>
      </c>
      <c r="O53" s="64"/>
      <c r="P53" s="62"/>
      <c r="Q53" s="71" t="s">
        <v>815</v>
      </c>
      <c r="R53" s="71"/>
      <c r="S53" s="71"/>
      <c r="T53" s="71"/>
      <c r="U53" s="74"/>
      <c r="V53" s="74"/>
      <c r="W53" s="65"/>
      <c r="X53" s="89">
        <v>77</v>
      </c>
      <c r="Y53" s="66">
        <v>65</v>
      </c>
      <c r="Z53" s="66">
        <v>12</v>
      </c>
      <c r="AA53" s="93">
        <v>0.8441558441558441</v>
      </c>
      <c r="AB53" s="98">
        <v>1891230</v>
      </c>
      <c r="AC53" s="102">
        <v>114.99999999999999</v>
      </c>
    </row>
    <row r="54" spans="1:29" s="58" customFormat="1" ht="18" customHeight="1" x14ac:dyDescent="0.2">
      <c r="A54" s="67" t="s">
        <v>611</v>
      </c>
      <c r="B54" s="67">
        <v>72952936</v>
      </c>
      <c r="C54" s="61" t="s">
        <v>249</v>
      </c>
      <c r="D54" s="62" t="s">
        <v>949</v>
      </c>
      <c r="E54" s="61" t="s">
        <v>250</v>
      </c>
      <c r="F54" s="62" t="s">
        <v>612</v>
      </c>
      <c r="G54" s="62" t="s">
        <v>328</v>
      </c>
      <c r="H54" s="67" t="s">
        <v>1208</v>
      </c>
      <c r="I54" s="62"/>
      <c r="J54" s="64" t="s">
        <v>1144</v>
      </c>
      <c r="K54" s="70"/>
      <c r="L54" s="62"/>
      <c r="M54" s="62"/>
      <c r="N54" s="62" t="s">
        <v>351</v>
      </c>
      <c r="O54" s="64"/>
      <c r="P54" s="62"/>
      <c r="Q54" s="71" t="s">
        <v>836</v>
      </c>
      <c r="R54" s="71"/>
      <c r="S54" s="71"/>
      <c r="T54" s="71"/>
      <c r="U54" s="74"/>
      <c r="V54" s="67" t="s">
        <v>613</v>
      </c>
      <c r="W54" s="65"/>
      <c r="X54" s="89">
        <v>66</v>
      </c>
      <c r="Y54" s="66">
        <v>47</v>
      </c>
      <c r="Z54" s="66">
        <v>19</v>
      </c>
      <c r="AA54" s="93">
        <v>0.71212121212121215</v>
      </c>
      <c r="AB54" s="98">
        <v>1651340</v>
      </c>
      <c r="AC54" s="102">
        <v>117.3</v>
      </c>
    </row>
    <row r="55" spans="1:29" s="58" customFormat="1" ht="18" customHeight="1" x14ac:dyDescent="0.2">
      <c r="A55" s="69" t="s">
        <v>655</v>
      </c>
      <c r="B55" s="69">
        <v>75099215</v>
      </c>
      <c r="C55" s="69" t="s">
        <v>1346</v>
      </c>
      <c r="D55" s="62" t="s">
        <v>656</v>
      </c>
      <c r="E55" s="63" t="s">
        <v>863</v>
      </c>
      <c r="F55" s="63">
        <v>976689778</v>
      </c>
      <c r="G55" s="62" t="s">
        <v>328</v>
      </c>
      <c r="H55" s="77" t="s">
        <v>864</v>
      </c>
      <c r="I55" s="63"/>
      <c r="J55" s="63" t="s">
        <v>865</v>
      </c>
      <c r="K55" s="63" t="s">
        <v>366</v>
      </c>
      <c r="L55" s="63">
        <v>1</v>
      </c>
      <c r="M55" s="63"/>
      <c r="N55" s="63" t="s">
        <v>343</v>
      </c>
      <c r="O55" s="63"/>
      <c r="P55" s="63"/>
      <c r="Q55" s="63" t="s">
        <v>690</v>
      </c>
      <c r="R55" s="63">
        <v>0</v>
      </c>
      <c r="S55" s="63"/>
      <c r="T55" s="63" t="s">
        <v>866</v>
      </c>
      <c r="U55" s="69" t="s">
        <v>656</v>
      </c>
      <c r="V55" s="69"/>
      <c r="W55" s="65"/>
      <c r="X55" s="89">
        <v>297</v>
      </c>
      <c r="Y55" s="66">
        <v>207</v>
      </c>
      <c r="Z55" s="66">
        <v>90</v>
      </c>
      <c r="AA55" s="93">
        <v>0.69696969696969702</v>
      </c>
      <c r="AB55" s="98">
        <v>7334030</v>
      </c>
      <c r="AC55" s="102">
        <v>181.7</v>
      </c>
    </row>
    <row r="56" spans="1:29" s="58" customFormat="1" ht="18" customHeight="1" x14ac:dyDescent="0.2">
      <c r="A56" s="67" t="s">
        <v>49</v>
      </c>
      <c r="B56" s="67" t="s">
        <v>1366</v>
      </c>
      <c r="C56" s="61" t="s">
        <v>167</v>
      </c>
      <c r="D56" s="62" t="s">
        <v>1324</v>
      </c>
      <c r="E56" s="63" t="s">
        <v>168</v>
      </c>
      <c r="F56" s="62" t="s">
        <v>1267</v>
      </c>
      <c r="G56" s="62" t="s">
        <v>328</v>
      </c>
      <c r="H56" s="67" t="s">
        <v>1209</v>
      </c>
      <c r="I56" s="64"/>
      <c r="J56" s="62" t="s">
        <v>1145</v>
      </c>
      <c r="K56" s="62" t="s">
        <v>1118</v>
      </c>
      <c r="L56" s="62">
        <v>1</v>
      </c>
      <c r="M56" s="62">
        <v>0</v>
      </c>
      <c r="N56" s="62"/>
      <c r="O56" s="64"/>
      <c r="P56" s="62"/>
      <c r="Q56" s="62" t="s">
        <v>836</v>
      </c>
      <c r="R56" s="62"/>
      <c r="S56" s="62"/>
      <c r="T56" s="62"/>
      <c r="U56" s="67"/>
      <c r="V56" s="67" t="s">
        <v>101</v>
      </c>
      <c r="W56" s="65"/>
      <c r="X56" s="89">
        <v>0</v>
      </c>
      <c r="Y56" s="66">
        <v>0</v>
      </c>
      <c r="Z56" s="66">
        <v>0</v>
      </c>
      <c r="AA56" s="93">
        <v>0</v>
      </c>
      <c r="AB56" s="98">
        <v>0</v>
      </c>
      <c r="AC56" s="102">
        <v>0</v>
      </c>
    </row>
    <row r="57" spans="1:29" s="59" customFormat="1" ht="18" customHeight="1" x14ac:dyDescent="0.2">
      <c r="A57" s="67" t="s">
        <v>71</v>
      </c>
      <c r="B57" s="67">
        <v>760078239</v>
      </c>
      <c r="C57" s="61" t="s">
        <v>636</v>
      </c>
      <c r="D57" s="62" t="s">
        <v>384</v>
      </c>
      <c r="E57" s="63" t="s">
        <v>248</v>
      </c>
      <c r="F57" s="62" t="s">
        <v>1268</v>
      </c>
      <c r="G57" s="62" t="s">
        <v>328</v>
      </c>
      <c r="H57" s="67" t="s">
        <v>1210</v>
      </c>
      <c r="I57" s="64"/>
      <c r="J57" s="62" t="s">
        <v>1146</v>
      </c>
      <c r="K57" s="64" t="s">
        <v>140</v>
      </c>
      <c r="L57" s="62">
        <v>3</v>
      </c>
      <c r="M57" s="62">
        <v>0</v>
      </c>
      <c r="N57" s="62" t="s">
        <v>351</v>
      </c>
      <c r="O57" s="64"/>
      <c r="P57" s="62"/>
      <c r="Q57" s="62" t="s">
        <v>836</v>
      </c>
      <c r="R57" s="62"/>
      <c r="S57" s="62" t="s">
        <v>382</v>
      </c>
      <c r="T57" s="62" t="s">
        <v>383</v>
      </c>
      <c r="U57" s="67" t="s">
        <v>384</v>
      </c>
      <c r="V57" s="67"/>
      <c r="W57" s="65"/>
      <c r="X57" s="89">
        <v>0</v>
      </c>
      <c r="Y57" s="66">
        <v>0</v>
      </c>
      <c r="Z57" s="66">
        <v>0</v>
      </c>
      <c r="AA57" s="93">
        <v>0</v>
      </c>
      <c r="AB57" s="98">
        <v>0</v>
      </c>
      <c r="AC57" s="102">
        <v>0</v>
      </c>
    </row>
    <row r="58" spans="1:29" s="58" customFormat="1" ht="18" customHeight="1" x14ac:dyDescent="0.2">
      <c r="A58" s="67" t="s">
        <v>70</v>
      </c>
      <c r="B58" s="67">
        <v>760131962</v>
      </c>
      <c r="C58" s="61" t="s">
        <v>246</v>
      </c>
      <c r="D58" s="62" t="s">
        <v>1322</v>
      </c>
      <c r="E58" s="63" t="s">
        <v>247</v>
      </c>
      <c r="F58" s="62" t="s">
        <v>1269</v>
      </c>
      <c r="G58" s="62" t="s">
        <v>328</v>
      </c>
      <c r="H58" s="76" t="s">
        <v>1211</v>
      </c>
      <c r="I58" s="64"/>
      <c r="J58" s="62" t="s">
        <v>1147</v>
      </c>
      <c r="K58" s="64" t="s">
        <v>103</v>
      </c>
      <c r="L58" s="62">
        <v>3</v>
      </c>
      <c r="M58" s="62">
        <v>0</v>
      </c>
      <c r="N58" s="62" t="s">
        <v>385</v>
      </c>
      <c r="O58" s="64"/>
      <c r="P58" s="62"/>
      <c r="Q58" s="62" t="s">
        <v>690</v>
      </c>
      <c r="R58" s="62"/>
      <c r="S58" s="62" t="s">
        <v>344</v>
      </c>
      <c r="T58" s="62"/>
      <c r="U58" s="67" t="s">
        <v>324</v>
      </c>
      <c r="V58" s="67"/>
      <c r="W58" s="65"/>
      <c r="X58" s="89">
        <v>27</v>
      </c>
      <c r="Y58" s="66">
        <v>22</v>
      </c>
      <c r="Z58" s="66">
        <v>5</v>
      </c>
      <c r="AA58" s="93">
        <v>0.81481481481481477</v>
      </c>
      <c r="AB58" s="98">
        <v>656730</v>
      </c>
      <c r="AC58" s="102">
        <v>44.849999999999994</v>
      </c>
    </row>
    <row r="59" spans="1:29" s="58" customFormat="1" ht="18" customHeight="1" x14ac:dyDescent="0.2">
      <c r="A59" s="67" t="s">
        <v>47</v>
      </c>
      <c r="B59" s="67">
        <v>760176303</v>
      </c>
      <c r="C59" s="61" t="s">
        <v>637</v>
      </c>
      <c r="D59" s="62" t="s">
        <v>1316</v>
      </c>
      <c r="E59" s="63" t="s">
        <v>161</v>
      </c>
      <c r="F59" s="62" t="s">
        <v>1270</v>
      </c>
      <c r="G59" s="62" t="s">
        <v>328</v>
      </c>
      <c r="H59" s="67" t="s">
        <v>1212</v>
      </c>
      <c r="I59" s="64"/>
      <c r="J59" s="62" t="s">
        <v>104</v>
      </c>
      <c r="K59" s="62" t="s">
        <v>103</v>
      </c>
      <c r="L59" s="62">
        <v>1</v>
      </c>
      <c r="M59" s="62">
        <v>0</v>
      </c>
      <c r="N59" s="62" t="s">
        <v>111</v>
      </c>
      <c r="O59" s="64"/>
      <c r="P59" s="75">
        <v>0.05</v>
      </c>
      <c r="Q59" s="62" t="s">
        <v>940</v>
      </c>
      <c r="R59" s="62"/>
      <c r="S59" s="62" t="s">
        <v>112</v>
      </c>
      <c r="T59" s="62" t="s">
        <v>113</v>
      </c>
      <c r="U59" s="67" t="s">
        <v>367</v>
      </c>
      <c r="V59" s="67" t="s">
        <v>116</v>
      </c>
      <c r="W59" s="65"/>
      <c r="X59" s="89">
        <v>0</v>
      </c>
      <c r="Y59" s="66">
        <v>0</v>
      </c>
      <c r="Z59" s="66">
        <v>0</v>
      </c>
      <c r="AA59" s="93">
        <v>0</v>
      </c>
      <c r="AB59" s="98">
        <v>0</v>
      </c>
      <c r="AC59" s="102">
        <v>0</v>
      </c>
    </row>
    <row r="60" spans="1:29" s="58" customFormat="1" ht="18" customHeight="1" x14ac:dyDescent="0.2">
      <c r="A60" s="67" t="s">
        <v>47</v>
      </c>
      <c r="B60" s="67">
        <v>760176303</v>
      </c>
      <c r="C60" s="61" t="s">
        <v>1347</v>
      </c>
      <c r="D60" s="62" t="s">
        <v>404</v>
      </c>
      <c r="E60" s="63" t="s">
        <v>517</v>
      </c>
      <c r="F60" s="62" t="s">
        <v>518</v>
      </c>
      <c r="G60" s="62" t="s">
        <v>328</v>
      </c>
      <c r="H60" s="76" t="s">
        <v>460</v>
      </c>
      <c r="I60" s="64"/>
      <c r="J60" s="62" t="s">
        <v>461</v>
      </c>
      <c r="K60" s="62" t="s">
        <v>519</v>
      </c>
      <c r="L60" s="62">
        <v>2</v>
      </c>
      <c r="M60" s="62"/>
      <c r="N60" s="62" t="s">
        <v>111</v>
      </c>
      <c r="O60" s="64"/>
      <c r="P60" s="62"/>
      <c r="Q60" s="62" t="s">
        <v>941</v>
      </c>
      <c r="R60" s="62"/>
      <c r="S60" s="62" t="s">
        <v>112</v>
      </c>
      <c r="T60" s="62" t="s">
        <v>113</v>
      </c>
      <c r="U60" s="67" t="s">
        <v>404</v>
      </c>
      <c r="V60" s="67"/>
      <c r="W60" s="65"/>
      <c r="X60" s="89">
        <v>0</v>
      </c>
      <c r="Y60" s="66">
        <v>0</v>
      </c>
      <c r="Z60" s="66">
        <v>0</v>
      </c>
      <c r="AA60" s="93">
        <v>0</v>
      </c>
      <c r="AB60" s="98">
        <v>0</v>
      </c>
      <c r="AC60" s="102">
        <v>0</v>
      </c>
    </row>
    <row r="61" spans="1:29" s="58" customFormat="1" ht="18" customHeight="1" x14ac:dyDescent="0.2">
      <c r="A61" s="67" t="s">
        <v>43</v>
      </c>
      <c r="B61" s="67">
        <v>760484040</v>
      </c>
      <c r="C61" s="61" t="s">
        <v>150</v>
      </c>
      <c r="D61" s="62" t="s">
        <v>1325</v>
      </c>
      <c r="E61" s="63" t="s">
        <v>151</v>
      </c>
      <c r="F61" s="62" t="s">
        <v>1271</v>
      </c>
      <c r="G61" s="62" t="s">
        <v>328</v>
      </c>
      <c r="H61" s="67" t="s">
        <v>1213</v>
      </c>
      <c r="I61" s="64"/>
      <c r="J61" s="62" t="s">
        <v>1148</v>
      </c>
      <c r="K61" s="62" t="s">
        <v>1036</v>
      </c>
      <c r="L61" s="62">
        <v>3</v>
      </c>
      <c r="M61" s="62">
        <v>0</v>
      </c>
      <c r="N61" s="62" t="s">
        <v>506</v>
      </c>
      <c r="O61" s="64"/>
      <c r="P61" s="62"/>
      <c r="Q61" s="62" t="s">
        <v>507</v>
      </c>
      <c r="R61" s="62">
        <v>88668259</v>
      </c>
      <c r="S61" s="62" t="s">
        <v>508</v>
      </c>
      <c r="T61" s="62" t="s">
        <v>509</v>
      </c>
      <c r="U61" s="67" t="s">
        <v>510</v>
      </c>
      <c r="V61" s="67" t="s">
        <v>152</v>
      </c>
      <c r="W61" s="65"/>
      <c r="X61" s="89">
        <v>0</v>
      </c>
      <c r="Y61" s="66">
        <v>0</v>
      </c>
      <c r="Z61" s="66">
        <v>0</v>
      </c>
      <c r="AA61" s="93">
        <v>0</v>
      </c>
      <c r="AB61" s="98">
        <v>0</v>
      </c>
      <c r="AC61" s="102">
        <v>6.8999999999999995</v>
      </c>
    </row>
    <row r="62" spans="1:29" s="58" customFormat="1" ht="18" customHeight="1" x14ac:dyDescent="0.2">
      <c r="A62" s="67" t="s">
        <v>66</v>
      </c>
      <c r="B62" s="67">
        <v>760498424</v>
      </c>
      <c r="C62" s="61" t="s">
        <v>223</v>
      </c>
      <c r="D62" s="62" t="s">
        <v>1326</v>
      </c>
      <c r="E62" s="63" t="s">
        <v>224</v>
      </c>
      <c r="F62" s="62" t="s">
        <v>1272</v>
      </c>
      <c r="G62" s="62" t="s">
        <v>328</v>
      </c>
      <c r="H62" s="77" t="s">
        <v>797</v>
      </c>
      <c r="I62" s="64"/>
      <c r="J62" s="62" t="s">
        <v>870</v>
      </c>
      <c r="K62" s="62" t="s">
        <v>1036</v>
      </c>
      <c r="L62" s="62">
        <v>2</v>
      </c>
      <c r="M62" s="62">
        <v>0</v>
      </c>
      <c r="N62" s="62" t="s">
        <v>799</v>
      </c>
      <c r="O62" s="64"/>
      <c r="P62" s="75">
        <v>0.05</v>
      </c>
      <c r="Q62" s="62" t="s">
        <v>798</v>
      </c>
      <c r="R62" s="62"/>
      <c r="S62" s="62" t="s">
        <v>112</v>
      </c>
      <c r="T62" s="62" t="s">
        <v>871</v>
      </c>
      <c r="U62" s="67" t="s">
        <v>445</v>
      </c>
      <c r="V62" s="67"/>
      <c r="W62" s="65"/>
      <c r="X62" s="89">
        <v>998</v>
      </c>
      <c r="Y62" s="66">
        <v>942</v>
      </c>
      <c r="Z62" s="66">
        <v>56</v>
      </c>
      <c r="AA62" s="93">
        <v>0.94388777555110226</v>
      </c>
      <c r="AB62" s="98">
        <v>25008020</v>
      </c>
      <c r="AC62" s="102">
        <v>637.09999999999991</v>
      </c>
    </row>
    <row r="63" spans="1:29" s="58" customFormat="1" ht="18" customHeight="1" x14ac:dyDescent="0.2">
      <c r="A63" s="67" t="s">
        <v>87</v>
      </c>
      <c r="B63" s="67">
        <v>760678872</v>
      </c>
      <c r="C63" s="61" t="s">
        <v>322</v>
      </c>
      <c r="D63" s="62" t="s">
        <v>1327</v>
      </c>
      <c r="E63" s="63" t="s">
        <v>323</v>
      </c>
      <c r="F63" s="62" t="s">
        <v>1273</v>
      </c>
      <c r="G63" s="62" t="s">
        <v>328</v>
      </c>
      <c r="H63" s="67" t="s">
        <v>1214</v>
      </c>
      <c r="I63" s="64"/>
      <c r="J63" s="62" t="s">
        <v>1036</v>
      </c>
      <c r="K63" s="62" t="s">
        <v>1036</v>
      </c>
      <c r="L63" s="62">
        <v>3</v>
      </c>
      <c r="M63" s="62">
        <v>0</v>
      </c>
      <c r="N63" s="62" t="s">
        <v>385</v>
      </c>
      <c r="O63" s="64"/>
      <c r="P63" s="62"/>
      <c r="Q63" s="62" t="s">
        <v>836</v>
      </c>
      <c r="R63" s="62"/>
      <c r="S63" s="62" t="s">
        <v>344</v>
      </c>
      <c r="T63" s="62"/>
      <c r="U63" s="67" t="str">
        <f>D63</f>
        <v xml:space="preserve">SAN CARLOS  </v>
      </c>
      <c r="V63" s="67"/>
      <c r="W63" s="65"/>
      <c r="X63" s="89">
        <v>0</v>
      </c>
      <c r="Y63" s="66">
        <v>0</v>
      </c>
      <c r="Z63" s="66">
        <v>0</v>
      </c>
      <c r="AA63" s="93">
        <v>0</v>
      </c>
      <c r="AB63" s="98">
        <v>0</v>
      </c>
      <c r="AC63" s="102">
        <v>0</v>
      </c>
    </row>
    <row r="64" spans="1:29" s="58" customFormat="1" ht="18" customHeight="1" x14ac:dyDescent="0.2">
      <c r="A64" s="67" t="s">
        <v>36</v>
      </c>
      <c r="B64" s="67">
        <v>760722243</v>
      </c>
      <c r="C64" s="61" t="s">
        <v>122</v>
      </c>
      <c r="D64" s="62" t="s">
        <v>330</v>
      </c>
      <c r="E64" s="63" t="s">
        <v>123</v>
      </c>
      <c r="F64" s="62" t="s">
        <v>1274</v>
      </c>
      <c r="G64" s="62" t="s">
        <v>328</v>
      </c>
      <c r="H64" s="67" t="s">
        <v>1215</v>
      </c>
      <c r="I64" s="64"/>
      <c r="J64" s="62" t="s">
        <v>1036</v>
      </c>
      <c r="K64" s="62" t="s">
        <v>103</v>
      </c>
      <c r="L64" s="62">
        <v>3</v>
      </c>
      <c r="M64" s="62">
        <v>0</v>
      </c>
      <c r="N64" s="62"/>
      <c r="O64" s="64"/>
      <c r="P64" s="62"/>
      <c r="Q64" s="62" t="s">
        <v>836</v>
      </c>
      <c r="R64" s="62"/>
      <c r="S64" s="62" t="s">
        <v>112</v>
      </c>
      <c r="T64" s="62"/>
      <c r="U64" s="67" t="s">
        <v>330</v>
      </c>
      <c r="V64" s="67"/>
      <c r="W64" s="65"/>
      <c r="X64" s="89">
        <v>0</v>
      </c>
      <c r="Y64" s="66">
        <v>0</v>
      </c>
      <c r="Z64" s="66">
        <v>0</v>
      </c>
      <c r="AA64" s="93">
        <v>0</v>
      </c>
      <c r="AB64" s="98">
        <v>0</v>
      </c>
      <c r="AC64" s="102">
        <v>0</v>
      </c>
    </row>
    <row r="65" spans="1:29" s="58" customFormat="1" ht="18" customHeight="1" x14ac:dyDescent="0.2">
      <c r="A65" s="67" t="s">
        <v>482</v>
      </c>
      <c r="B65" s="67">
        <v>760785172</v>
      </c>
      <c r="C65" s="61" t="s">
        <v>483</v>
      </c>
      <c r="D65" s="62" t="s">
        <v>1317</v>
      </c>
      <c r="E65" s="63" t="s">
        <v>484</v>
      </c>
      <c r="F65" s="62" t="s">
        <v>485</v>
      </c>
      <c r="G65" s="62" t="s">
        <v>328</v>
      </c>
      <c r="H65" s="76" t="s">
        <v>486</v>
      </c>
      <c r="I65" s="64"/>
      <c r="J65" s="62" t="s">
        <v>487</v>
      </c>
      <c r="K65" s="62" t="s">
        <v>366</v>
      </c>
      <c r="L65" s="62"/>
      <c r="M65" s="62"/>
      <c r="N65" s="62" t="s">
        <v>488</v>
      </c>
      <c r="O65" s="64"/>
      <c r="P65" s="62"/>
      <c r="Q65" s="62" t="s">
        <v>836</v>
      </c>
      <c r="R65" s="62">
        <v>98248393</v>
      </c>
      <c r="S65" s="62" t="s">
        <v>344</v>
      </c>
      <c r="T65" s="62" t="s">
        <v>489</v>
      </c>
      <c r="U65" s="67" t="s">
        <v>362</v>
      </c>
      <c r="V65" s="67"/>
      <c r="W65" s="65"/>
      <c r="X65" s="89">
        <v>0</v>
      </c>
      <c r="Y65" s="66">
        <v>0</v>
      </c>
      <c r="Z65" s="66">
        <v>0</v>
      </c>
      <c r="AA65" s="93">
        <v>0</v>
      </c>
      <c r="AB65" s="98">
        <v>0</v>
      </c>
      <c r="AC65" s="102">
        <v>0</v>
      </c>
    </row>
    <row r="66" spans="1:29" s="58" customFormat="1" ht="18" customHeight="1" x14ac:dyDescent="0.2">
      <c r="A66" s="67" t="s">
        <v>58</v>
      </c>
      <c r="B66" s="67">
        <v>760791865</v>
      </c>
      <c r="C66" s="61" t="s">
        <v>193</v>
      </c>
      <c r="D66" s="62" t="s">
        <v>423</v>
      </c>
      <c r="E66" s="61" t="s">
        <v>194</v>
      </c>
      <c r="F66" s="62" t="s">
        <v>1275</v>
      </c>
      <c r="G66" s="62" t="s">
        <v>1238</v>
      </c>
      <c r="H66" s="67" t="s">
        <v>614</v>
      </c>
      <c r="I66" s="62"/>
      <c r="J66" s="64" t="s">
        <v>1149</v>
      </c>
      <c r="K66" s="70"/>
      <c r="L66" s="62">
        <v>3</v>
      </c>
      <c r="M66" s="62"/>
      <c r="N66" s="62" t="s">
        <v>412</v>
      </c>
      <c r="O66" s="64"/>
      <c r="P66" s="62"/>
      <c r="Q66" s="71" t="s">
        <v>363</v>
      </c>
      <c r="R66" s="71" t="s">
        <v>697</v>
      </c>
      <c r="S66" s="71"/>
      <c r="T66" s="71"/>
      <c r="U66" s="74"/>
      <c r="V66" s="67" t="s">
        <v>698</v>
      </c>
      <c r="W66" s="65"/>
      <c r="X66" s="89">
        <v>70</v>
      </c>
      <c r="Y66" s="66">
        <v>34</v>
      </c>
      <c r="Z66" s="66">
        <v>36</v>
      </c>
      <c r="AA66" s="93">
        <v>0.48571428571428571</v>
      </c>
      <c r="AB66" s="98">
        <v>1749300</v>
      </c>
      <c r="AC66" s="102">
        <v>95.449999999999989</v>
      </c>
    </row>
    <row r="67" spans="1:29" s="58" customFormat="1" ht="18" customHeight="1" x14ac:dyDescent="0.2">
      <c r="A67" s="67" t="s">
        <v>79</v>
      </c>
      <c r="B67" s="67">
        <v>760909491</v>
      </c>
      <c r="C67" s="61" t="s">
        <v>1348</v>
      </c>
      <c r="D67" s="62" t="s">
        <v>1319</v>
      </c>
      <c r="E67" s="63" t="s">
        <v>284</v>
      </c>
      <c r="F67" s="62" t="s">
        <v>1276</v>
      </c>
      <c r="G67" s="62" t="s">
        <v>328</v>
      </c>
      <c r="H67" s="67" t="s">
        <v>285</v>
      </c>
      <c r="I67" s="64"/>
      <c r="J67" s="62" t="s">
        <v>1150</v>
      </c>
      <c r="K67" s="62"/>
      <c r="L67" s="62"/>
      <c r="M67" s="62"/>
      <c r="N67" s="62" t="s">
        <v>340</v>
      </c>
      <c r="O67" s="64"/>
      <c r="P67" s="62"/>
      <c r="Q67" s="62" t="s">
        <v>836</v>
      </c>
      <c r="R67" s="62"/>
      <c r="S67" s="62" t="s">
        <v>344</v>
      </c>
      <c r="T67" s="62" t="s">
        <v>386</v>
      </c>
      <c r="U67" s="67" t="s">
        <v>377</v>
      </c>
      <c r="V67" s="67"/>
      <c r="W67" s="65"/>
      <c r="X67" s="89">
        <v>0</v>
      </c>
      <c r="Y67" s="66">
        <v>0</v>
      </c>
      <c r="Z67" s="66">
        <v>0</v>
      </c>
      <c r="AA67" s="93">
        <v>0</v>
      </c>
      <c r="AB67" s="98">
        <v>0</v>
      </c>
      <c r="AC67" s="102">
        <v>0</v>
      </c>
    </row>
    <row r="68" spans="1:29" s="58" customFormat="1" ht="18" customHeight="1" x14ac:dyDescent="0.2">
      <c r="A68" s="67" t="s">
        <v>64</v>
      </c>
      <c r="B68" s="67">
        <v>760993476</v>
      </c>
      <c r="C68" s="61" t="s">
        <v>219</v>
      </c>
      <c r="D68" s="62" t="s">
        <v>1328</v>
      </c>
      <c r="E68" s="63" t="s">
        <v>840</v>
      </c>
      <c r="F68" s="62">
        <v>989226623</v>
      </c>
      <c r="G68" s="62" t="s">
        <v>725</v>
      </c>
      <c r="H68" s="67" t="s">
        <v>1216</v>
      </c>
      <c r="I68" s="64"/>
      <c r="J68" s="62" t="s">
        <v>1151</v>
      </c>
      <c r="K68" s="62" t="s">
        <v>1119</v>
      </c>
      <c r="L68" s="62">
        <v>1</v>
      </c>
      <c r="M68" s="62">
        <v>0</v>
      </c>
      <c r="N68" s="62" t="s">
        <v>841</v>
      </c>
      <c r="O68" s="64"/>
      <c r="P68" s="62"/>
      <c r="Q68" s="62" t="s">
        <v>690</v>
      </c>
      <c r="R68" s="62"/>
      <c r="S68" s="62" t="s">
        <v>344</v>
      </c>
      <c r="T68" s="62" t="s">
        <v>443</v>
      </c>
      <c r="U68" s="67" t="s">
        <v>442</v>
      </c>
      <c r="V68" s="67"/>
      <c r="W68" s="65"/>
      <c r="X68" s="89">
        <v>69</v>
      </c>
      <c r="Y68" s="66">
        <v>31</v>
      </c>
      <c r="Z68" s="66">
        <v>38</v>
      </c>
      <c r="AA68" s="93">
        <v>0.44927536231884058</v>
      </c>
      <c r="AB68" s="98">
        <v>1697310</v>
      </c>
      <c r="AC68" s="102">
        <v>70.149999999999991</v>
      </c>
    </row>
    <row r="69" spans="1:29" s="58" customFormat="1" ht="18" customHeight="1" x14ac:dyDescent="0.2">
      <c r="A69" s="67" t="s">
        <v>56</v>
      </c>
      <c r="B69" s="67">
        <v>761212206</v>
      </c>
      <c r="C69" s="61" t="s">
        <v>189</v>
      </c>
      <c r="D69" s="62" t="s">
        <v>419</v>
      </c>
      <c r="E69" s="63" t="s">
        <v>190</v>
      </c>
      <c r="F69" s="62" t="s">
        <v>1277</v>
      </c>
      <c r="G69" s="62" t="s">
        <v>633</v>
      </c>
      <c r="H69" s="77" t="s">
        <v>1217</v>
      </c>
      <c r="I69" s="64"/>
      <c r="J69" s="62" t="s">
        <v>1152</v>
      </c>
      <c r="K69" s="62" t="s">
        <v>1036</v>
      </c>
      <c r="L69" s="62">
        <v>3</v>
      </c>
      <c r="M69" s="62">
        <v>0</v>
      </c>
      <c r="N69" s="62" t="s">
        <v>420</v>
      </c>
      <c r="O69" s="64"/>
      <c r="P69" s="62"/>
      <c r="Q69" s="62" t="s">
        <v>363</v>
      </c>
      <c r="R69" s="62">
        <v>984797337</v>
      </c>
      <c r="S69" s="62" t="s">
        <v>112</v>
      </c>
      <c r="T69" s="62" t="s">
        <v>668</v>
      </c>
      <c r="U69" s="67" t="s">
        <v>419</v>
      </c>
      <c r="V69" s="67"/>
      <c r="W69" s="65"/>
      <c r="X69" s="89">
        <v>144</v>
      </c>
      <c r="Y69" s="66">
        <v>109</v>
      </c>
      <c r="Z69" s="66">
        <v>35</v>
      </c>
      <c r="AA69" s="93">
        <v>0.75694444444444442</v>
      </c>
      <c r="AB69" s="98">
        <v>3544560</v>
      </c>
      <c r="AC69" s="102">
        <v>179.39999999999998</v>
      </c>
    </row>
    <row r="70" spans="1:29" s="58" customFormat="1" ht="18" customHeight="1" x14ac:dyDescent="0.2">
      <c r="A70" s="67" t="s">
        <v>68</v>
      </c>
      <c r="B70" s="67">
        <v>761687794</v>
      </c>
      <c r="C70" s="61" t="s">
        <v>1349</v>
      </c>
      <c r="D70" s="62" t="s">
        <v>1329</v>
      </c>
      <c r="E70" s="61" t="s">
        <v>619</v>
      </c>
      <c r="F70" s="62" t="s">
        <v>1278</v>
      </c>
      <c r="G70" s="62" t="s">
        <v>438</v>
      </c>
      <c r="H70" s="78" t="s">
        <v>951</v>
      </c>
      <c r="I70" s="62"/>
      <c r="J70" s="70"/>
      <c r="K70" s="70"/>
      <c r="L70" s="62">
        <v>3</v>
      </c>
      <c r="M70" s="62"/>
      <c r="N70" s="62" t="s">
        <v>446</v>
      </c>
      <c r="O70" s="64"/>
      <c r="P70" s="62"/>
      <c r="Q70" s="71" t="s">
        <v>945</v>
      </c>
      <c r="R70" s="71"/>
      <c r="S70" s="71"/>
      <c r="T70" s="71"/>
      <c r="U70" s="74"/>
      <c r="V70" s="74"/>
      <c r="W70" s="65"/>
      <c r="X70" s="89">
        <v>87</v>
      </c>
      <c r="Y70" s="66">
        <v>64</v>
      </c>
      <c r="Z70" s="66">
        <v>23</v>
      </c>
      <c r="AA70" s="93">
        <v>0.73563218390804597</v>
      </c>
      <c r="AB70" s="98">
        <v>2190130</v>
      </c>
      <c r="AC70" s="102">
        <v>173.64999999999998</v>
      </c>
    </row>
    <row r="71" spans="1:29" s="58" customFormat="1" ht="18" customHeight="1" x14ac:dyDescent="0.2">
      <c r="A71" s="67" t="s">
        <v>39</v>
      </c>
      <c r="B71" s="67">
        <v>761839098</v>
      </c>
      <c r="C71" s="61" t="s">
        <v>137</v>
      </c>
      <c r="D71" s="62" t="s">
        <v>1324</v>
      </c>
      <c r="E71" s="63" t="s">
        <v>138</v>
      </c>
      <c r="F71" s="62" t="s">
        <v>139</v>
      </c>
      <c r="G71" s="62" t="s">
        <v>438</v>
      </c>
      <c r="H71" s="77" t="s">
        <v>1218</v>
      </c>
      <c r="I71" s="64"/>
      <c r="J71" s="62" t="s">
        <v>1153</v>
      </c>
      <c r="K71" s="62" t="s">
        <v>140</v>
      </c>
      <c r="L71" s="62">
        <v>4</v>
      </c>
      <c r="M71" s="62">
        <v>0</v>
      </c>
      <c r="N71" s="62" t="s">
        <v>490</v>
      </c>
      <c r="O71" s="64"/>
      <c r="P71" s="62"/>
      <c r="Q71" s="62" t="s">
        <v>836</v>
      </c>
      <c r="R71" s="62" t="s">
        <v>593</v>
      </c>
      <c r="S71" s="62" t="s">
        <v>491</v>
      </c>
      <c r="T71" s="62" t="s">
        <v>492</v>
      </c>
      <c r="U71" s="67" t="s">
        <v>493</v>
      </c>
      <c r="V71" s="67" t="s">
        <v>141</v>
      </c>
      <c r="W71" s="65"/>
      <c r="X71" s="89">
        <v>456</v>
      </c>
      <c r="Y71" s="66">
        <v>386</v>
      </c>
      <c r="Z71" s="66">
        <v>70</v>
      </c>
      <c r="AA71" s="93">
        <v>0.84649122807017541</v>
      </c>
      <c r="AB71" s="98">
        <v>11392440</v>
      </c>
      <c r="AC71" s="102">
        <v>289.79999999999995</v>
      </c>
    </row>
    <row r="72" spans="1:29" s="58" customFormat="1" ht="18" customHeight="1" x14ac:dyDescent="0.2">
      <c r="A72" s="67" t="s">
        <v>88</v>
      </c>
      <c r="B72" s="67">
        <v>761952552</v>
      </c>
      <c r="C72" s="61" t="s">
        <v>327</v>
      </c>
      <c r="D72" s="62" t="s">
        <v>330</v>
      </c>
      <c r="E72" s="63" t="s">
        <v>117</v>
      </c>
      <c r="F72" s="62">
        <v>961418070</v>
      </c>
      <c r="G72" s="62" t="s">
        <v>328</v>
      </c>
      <c r="H72" s="76" t="s">
        <v>842</v>
      </c>
      <c r="I72" s="64"/>
      <c r="J72" s="62" t="s">
        <v>1154</v>
      </c>
      <c r="K72" s="64"/>
      <c r="L72" s="62"/>
      <c r="M72" s="62"/>
      <c r="N72" s="62" t="s">
        <v>488</v>
      </c>
      <c r="O72" s="64"/>
      <c r="P72" s="75">
        <v>0.05</v>
      </c>
      <c r="Q72" s="62" t="s">
        <v>942</v>
      </c>
      <c r="R72" s="62"/>
      <c r="S72" s="62" t="s">
        <v>112</v>
      </c>
      <c r="T72" s="62" t="s">
        <v>329</v>
      </c>
      <c r="U72" s="67" t="s">
        <v>330</v>
      </c>
      <c r="V72" s="67"/>
      <c r="W72" s="65"/>
      <c r="X72" s="89">
        <v>320</v>
      </c>
      <c r="Y72" s="66">
        <v>248</v>
      </c>
      <c r="Z72" s="66">
        <v>72</v>
      </c>
      <c r="AA72" s="93">
        <v>0.77500000000000002</v>
      </c>
      <c r="AB72" s="98">
        <v>8069800</v>
      </c>
      <c r="AC72" s="102">
        <v>533.59999999999991</v>
      </c>
    </row>
    <row r="73" spans="1:29" s="58" customFormat="1" ht="18" customHeight="1" x14ac:dyDescent="0.2">
      <c r="A73" s="67" t="s">
        <v>65</v>
      </c>
      <c r="B73" s="67">
        <v>761981951</v>
      </c>
      <c r="C73" s="61" t="s">
        <v>220</v>
      </c>
      <c r="D73" s="62" t="s">
        <v>1328</v>
      </c>
      <c r="E73" s="63" t="s">
        <v>221</v>
      </c>
      <c r="F73" s="62" t="s">
        <v>1279</v>
      </c>
      <c r="G73" s="62" t="s">
        <v>438</v>
      </c>
      <c r="H73" s="67" t="s">
        <v>1219</v>
      </c>
      <c r="I73" s="64"/>
      <c r="J73" s="62" t="s">
        <v>222</v>
      </c>
      <c r="K73" s="62" t="s">
        <v>140</v>
      </c>
      <c r="L73" s="62">
        <v>3</v>
      </c>
      <c r="M73" s="62">
        <v>0</v>
      </c>
      <c r="N73" s="62" t="s">
        <v>340</v>
      </c>
      <c r="O73" s="64"/>
      <c r="P73" s="62"/>
      <c r="Q73" s="62" t="s">
        <v>836</v>
      </c>
      <c r="R73" s="62"/>
      <c r="S73" s="62" t="s">
        <v>444</v>
      </c>
      <c r="T73" s="62"/>
      <c r="U73" s="67" t="s">
        <v>442</v>
      </c>
      <c r="V73" s="67"/>
      <c r="W73" s="65"/>
      <c r="X73" s="89">
        <v>44</v>
      </c>
      <c r="Y73" s="66">
        <v>30</v>
      </c>
      <c r="Z73" s="66">
        <v>14</v>
      </c>
      <c r="AA73" s="93">
        <v>0.68181818181818177</v>
      </c>
      <c r="AB73" s="98">
        <v>1089560</v>
      </c>
      <c r="AC73" s="102">
        <v>72.449999999999989</v>
      </c>
    </row>
    <row r="74" spans="1:29" s="58" customFormat="1" ht="18" customHeight="1" x14ac:dyDescent="0.2">
      <c r="A74" s="67" t="s">
        <v>590</v>
      </c>
      <c r="B74" s="67">
        <v>762599295</v>
      </c>
      <c r="C74" s="61" t="s">
        <v>607</v>
      </c>
      <c r="D74" s="62" t="s">
        <v>1330</v>
      </c>
      <c r="E74" s="63" t="s">
        <v>292</v>
      </c>
      <c r="F74" s="62" t="s">
        <v>1280</v>
      </c>
      <c r="G74" s="62" t="s">
        <v>286</v>
      </c>
      <c r="H74" s="67" t="s">
        <v>1220</v>
      </c>
      <c r="I74" s="64"/>
      <c r="J74" s="62"/>
      <c r="K74" s="62"/>
      <c r="L74" s="62"/>
      <c r="M74" s="62"/>
      <c r="N74" s="62" t="s">
        <v>727</v>
      </c>
      <c r="O74" s="64"/>
      <c r="P74" s="62"/>
      <c r="Q74" s="62" t="s">
        <v>836</v>
      </c>
      <c r="R74" s="62"/>
      <c r="S74" s="62"/>
      <c r="T74" s="62"/>
      <c r="U74" s="67"/>
      <c r="V74" s="67"/>
      <c r="W74" s="65"/>
      <c r="X74" s="89">
        <v>0</v>
      </c>
      <c r="Y74" s="66">
        <v>0</v>
      </c>
      <c r="Z74" s="66">
        <v>0</v>
      </c>
      <c r="AA74" s="93">
        <v>0</v>
      </c>
      <c r="AB74" s="98">
        <v>0</v>
      </c>
      <c r="AC74" s="102">
        <v>0</v>
      </c>
    </row>
    <row r="75" spans="1:29" s="58" customFormat="1" ht="18" customHeight="1" x14ac:dyDescent="0.2">
      <c r="A75" s="67" t="s">
        <v>67</v>
      </c>
      <c r="B75" s="67">
        <v>763395200</v>
      </c>
      <c r="C75" s="61" t="s">
        <v>235</v>
      </c>
      <c r="D75" s="62" t="s">
        <v>384</v>
      </c>
      <c r="E75" s="63" t="s">
        <v>236</v>
      </c>
      <c r="F75" s="62">
        <v>412553099</v>
      </c>
      <c r="G75" s="62" t="s">
        <v>328</v>
      </c>
      <c r="H75" s="77" t="s">
        <v>1221</v>
      </c>
      <c r="I75" s="64"/>
      <c r="J75" s="62" t="s">
        <v>1155</v>
      </c>
      <c r="K75" s="62" t="s">
        <v>1036</v>
      </c>
      <c r="L75" s="62">
        <v>4</v>
      </c>
      <c r="M75" s="62">
        <v>0</v>
      </c>
      <c r="N75" s="62" t="s">
        <v>343</v>
      </c>
      <c r="O75" s="64"/>
      <c r="P75" s="62"/>
      <c r="Q75" s="62" t="s">
        <v>836</v>
      </c>
      <c r="R75" s="62"/>
      <c r="S75" s="62" t="s">
        <v>458</v>
      </c>
      <c r="T75" s="62" t="s">
        <v>459</v>
      </c>
      <c r="U75" s="67" t="s">
        <v>384</v>
      </c>
      <c r="V75" s="67" t="s">
        <v>237</v>
      </c>
      <c r="W75" s="65"/>
      <c r="X75" s="89">
        <v>98</v>
      </c>
      <c r="Y75" s="66">
        <v>80</v>
      </c>
      <c r="Z75" s="66">
        <v>18</v>
      </c>
      <c r="AA75" s="93">
        <v>0.81632653061224492</v>
      </c>
      <c r="AB75" s="98">
        <v>2421020</v>
      </c>
      <c r="AC75" s="102">
        <v>170.2</v>
      </c>
    </row>
    <row r="76" spans="1:29" s="58" customFormat="1" ht="18" customHeight="1" x14ac:dyDescent="0.2">
      <c r="A76" s="67" t="s">
        <v>396</v>
      </c>
      <c r="B76" s="67">
        <v>763683931</v>
      </c>
      <c r="C76" s="61" t="s">
        <v>395</v>
      </c>
      <c r="D76" s="62" t="s">
        <v>1322</v>
      </c>
      <c r="E76" s="63" t="s">
        <v>397</v>
      </c>
      <c r="F76" s="62" t="s">
        <v>1281</v>
      </c>
      <c r="G76" s="62" t="s">
        <v>328</v>
      </c>
      <c r="H76" s="67" t="s">
        <v>1222</v>
      </c>
      <c r="I76" s="64"/>
      <c r="J76" s="62" t="s">
        <v>1156</v>
      </c>
      <c r="K76" s="62" t="s">
        <v>366</v>
      </c>
      <c r="L76" s="62">
        <v>3</v>
      </c>
      <c r="M76" s="62">
        <v>0</v>
      </c>
      <c r="N76" s="62" t="s">
        <v>385</v>
      </c>
      <c r="O76" s="64"/>
      <c r="P76" s="62"/>
      <c r="Q76" s="62" t="s">
        <v>836</v>
      </c>
      <c r="R76" s="62"/>
      <c r="S76" s="62" t="s">
        <v>353</v>
      </c>
      <c r="T76" s="62" t="s">
        <v>398</v>
      </c>
      <c r="U76" s="67"/>
      <c r="V76" s="67"/>
      <c r="W76" s="65"/>
      <c r="X76" s="89">
        <v>0</v>
      </c>
      <c r="Y76" s="66">
        <v>0</v>
      </c>
      <c r="Z76" s="66">
        <v>0</v>
      </c>
      <c r="AA76" s="93">
        <v>0</v>
      </c>
      <c r="AB76" s="98">
        <v>0</v>
      </c>
      <c r="AC76" s="102">
        <v>0</v>
      </c>
    </row>
    <row r="77" spans="1:29" s="58" customFormat="1" ht="18" customHeight="1" x14ac:dyDescent="0.2">
      <c r="A77" s="67" t="s">
        <v>641</v>
      </c>
      <c r="B77" s="67">
        <v>764543548</v>
      </c>
      <c r="C77" s="61" t="s">
        <v>1350</v>
      </c>
      <c r="D77" s="62" t="s">
        <v>324</v>
      </c>
      <c r="E77" s="63" t="s">
        <v>821</v>
      </c>
      <c r="F77" s="62">
        <v>998842676</v>
      </c>
      <c r="G77" s="62" t="s">
        <v>328</v>
      </c>
      <c r="H77" s="77" t="s">
        <v>822</v>
      </c>
      <c r="I77" s="64"/>
      <c r="J77" s="62" t="s">
        <v>1036</v>
      </c>
      <c r="K77" s="62" t="s">
        <v>1036</v>
      </c>
      <c r="L77" s="62">
        <v>1</v>
      </c>
      <c r="M77" s="62">
        <v>0</v>
      </c>
      <c r="N77" s="62" t="s">
        <v>385</v>
      </c>
      <c r="O77" s="64"/>
      <c r="P77" s="62"/>
      <c r="Q77" s="62" t="s">
        <v>690</v>
      </c>
      <c r="R77" s="62"/>
      <c r="S77" s="62" t="s">
        <v>562</v>
      </c>
      <c r="T77" s="62" t="s">
        <v>565</v>
      </c>
      <c r="U77" s="67" t="str">
        <f>D77</f>
        <v>ANGOL</v>
      </c>
      <c r="V77" s="67"/>
      <c r="W77" s="65"/>
      <c r="X77" s="89">
        <v>120</v>
      </c>
      <c r="Y77" s="66">
        <v>117</v>
      </c>
      <c r="Z77" s="66">
        <v>3</v>
      </c>
      <c r="AA77" s="93">
        <v>0.97499999999999998</v>
      </c>
      <c r="AB77" s="98">
        <v>2986800</v>
      </c>
      <c r="AC77" s="102">
        <v>164.45</v>
      </c>
    </row>
    <row r="78" spans="1:29" s="58" customFormat="1" ht="18" customHeight="1" x14ac:dyDescent="0.2">
      <c r="A78" s="67" t="s">
        <v>640</v>
      </c>
      <c r="B78" s="67">
        <v>765118298</v>
      </c>
      <c r="C78" s="61" t="s">
        <v>1351</v>
      </c>
      <c r="D78" s="62" t="s">
        <v>330</v>
      </c>
      <c r="E78" s="63" t="s">
        <v>251</v>
      </c>
      <c r="F78" s="62" t="s">
        <v>1282</v>
      </c>
      <c r="G78" s="62" t="s">
        <v>328</v>
      </c>
      <c r="H78" s="67" t="s">
        <v>1223</v>
      </c>
      <c r="I78" s="64"/>
      <c r="J78" s="62" t="s">
        <v>1157</v>
      </c>
      <c r="K78" s="62" t="s">
        <v>1036</v>
      </c>
      <c r="L78" s="62">
        <v>1</v>
      </c>
      <c r="M78" s="62">
        <v>0</v>
      </c>
      <c r="N78" s="62" t="s">
        <v>453</v>
      </c>
      <c r="O78" s="64"/>
      <c r="P78" s="62"/>
      <c r="Q78" s="62" t="s">
        <v>836</v>
      </c>
      <c r="R78" s="62">
        <v>85874622</v>
      </c>
      <c r="S78" s="62" t="s">
        <v>353</v>
      </c>
      <c r="T78" s="62" t="s">
        <v>380</v>
      </c>
      <c r="U78" s="67" t="s">
        <v>330</v>
      </c>
      <c r="V78" s="67"/>
      <c r="W78" s="65"/>
      <c r="X78" s="89">
        <v>187</v>
      </c>
      <c r="Y78" s="66">
        <v>138</v>
      </c>
      <c r="Z78" s="66">
        <v>49</v>
      </c>
      <c r="AA78" s="93">
        <v>0.73796791443850263</v>
      </c>
      <c r="AB78" s="98">
        <v>4643130</v>
      </c>
      <c r="AC78" s="102">
        <v>218.49999999999997</v>
      </c>
    </row>
    <row r="79" spans="1:29" s="58" customFormat="1" ht="18" customHeight="1" x14ac:dyDescent="0.2">
      <c r="A79" s="69" t="s">
        <v>648</v>
      </c>
      <c r="B79" s="69">
        <v>766589502</v>
      </c>
      <c r="C79" s="69" t="s">
        <v>1352</v>
      </c>
      <c r="D79" s="62" t="s">
        <v>331</v>
      </c>
      <c r="E79" s="63"/>
      <c r="F79" s="63"/>
      <c r="G79" s="62" t="s">
        <v>328</v>
      </c>
      <c r="H79" s="67"/>
      <c r="I79" s="63"/>
      <c r="J79" s="63"/>
      <c r="K79" s="63"/>
      <c r="L79" s="63"/>
      <c r="M79" s="63"/>
      <c r="N79" s="63" t="s">
        <v>385</v>
      </c>
      <c r="O79" s="63"/>
      <c r="P79" s="63"/>
      <c r="Q79" s="62" t="s">
        <v>836</v>
      </c>
      <c r="R79" s="63">
        <v>0</v>
      </c>
      <c r="S79" s="63"/>
      <c r="T79" s="63"/>
      <c r="U79" s="69"/>
      <c r="V79" s="69"/>
      <c r="W79" s="65"/>
      <c r="X79" s="89">
        <v>376</v>
      </c>
      <c r="Y79" s="66">
        <v>194</v>
      </c>
      <c r="Z79" s="66">
        <v>182</v>
      </c>
      <c r="AA79" s="93">
        <v>0.51595744680851063</v>
      </c>
      <c r="AB79" s="98">
        <v>9414240</v>
      </c>
      <c r="AC79" s="102">
        <v>216.2</v>
      </c>
    </row>
    <row r="80" spans="1:29" s="58" customFormat="1" ht="18" customHeight="1" x14ac:dyDescent="0.2">
      <c r="A80" s="67" t="s">
        <v>628</v>
      </c>
      <c r="B80" s="67">
        <v>766623522</v>
      </c>
      <c r="C80" s="61" t="s">
        <v>642</v>
      </c>
      <c r="D80" s="62" t="s">
        <v>1331</v>
      </c>
      <c r="E80" s="63" t="s">
        <v>909</v>
      </c>
      <c r="F80" s="62">
        <v>950150910</v>
      </c>
      <c r="G80" s="62" t="s">
        <v>328</v>
      </c>
      <c r="H80" s="67" t="s">
        <v>1224</v>
      </c>
      <c r="I80" s="64"/>
      <c r="J80" s="62" t="s">
        <v>792</v>
      </c>
      <c r="K80" s="62"/>
      <c r="L80" s="62">
        <v>1</v>
      </c>
      <c r="M80" s="62">
        <v>0</v>
      </c>
      <c r="N80" s="62" t="s">
        <v>351</v>
      </c>
      <c r="O80" s="64"/>
      <c r="P80" s="75"/>
      <c r="Q80" s="62" t="s">
        <v>1766</v>
      </c>
      <c r="R80" s="62">
        <v>950150910</v>
      </c>
      <c r="S80" s="62" t="s">
        <v>467</v>
      </c>
      <c r="T80" s="62" t="s">
        <v>468</v>
      </c>
      <c r="U80" s="67" t="s">
        <v>466</v>
      </c>
      <c r="V80" s="67" t="s">
        <v>126</v>
      </c>
      <c r="W80" s="65"/>
      <c r="X80" s="89">
        <v>1231</v>
      </c>
      <c r="Y80" s="66">
        <v>897</v>
      </c>
      <c r="Z80" s="66">
        <v>334</v>
      </c>
      <c r="AA80" s="93">
        <v>0.72867587327376115</v>
      </c>
      <c r="AB80" s="98">
        <v>30927690</v>
      </c>
      <c r="AC80" s="102">
        <v>1059.1499999999999</v>
      </c>
    </row>
    <row r="81" spans="1:29" s="58" customFormat="1" ht="18" customHeight="1" x14ac:dyDescent="0.2">
      <c r="A81" s="69" t="s">
        <v>654</v>
      </c>
      <c r="B81" s="69">
        <v>766871836</v>
      </c>
      <c r="C81" s="69" t="s">
        <v>653</v>
      </c>
      <c r="D81" s="62" t="s">
        <v>402</v>
      </c>
      <c r="E81" s="63" t="s">
        <v>829</v>
      </c>
      <c r="F81" s="63">
        <v>987952316</v>
      </c>
      <c r="G81" s="62" t="s">
        <v>438</v>
      </c>
      <c r="H81" s="77" t="s">
        <v>828</v>
      </c>
      <c r="I81" s="63"/>
      <c r="J81" s="63" t="s">
        <v>665</v>
      </c>
      <c r="K81" s="63" t="s">
        <v>366</v>
      </c>
      <c r="L81" s="63">
        <v>1</v>
      </c>
      <c r="M81" s="63"/>
      <c r="N81" s="63" t="s">
        <v>351</v>
      </c>
      <c r="O81" s="63"/>
      <c r="P81" s="63"/>
      <c r="Q81" s="62" t="s">
        <v>1767</v>
      </c>
      <c r="R81" s="63">
        <v>0</v>
      </c>
      <c r="S81" s="63" t="s">
        <v>344</v>
      </c>
      <c r="T81" s="63" t="s">
        <v>664</v>
      </c>
      <c r="U81" s="69" t="s">
        <v>402</v>
      </c>
      <c r="V81" s="69"/>
      <c r="W81" s="65"/>
      <c r="X81" s="89">
        <v>750</v>
      </c>
      <c r="Y81" s="66">
        <v>76</v>
      </c>
      <c r="Z81" s="66">
        <v>674</v>
      </c>
      <c r="AA81" s="93">
        <v>0.10133333333333333</v>
      </c>
      <c r="AB81" s="98">
        <v>18448500</v>
      </c>
      <c r="AC81" s="102">
        <v>842.94999999999993</v>
      </c>
    </row>
    <row r="82" spans="1:29" s="58" customFormat="1" ht="18" customHeight="1" x14ac:dyDescent="0.2">
      <c r="A82" s="69" t="s">
        <v>647</v>
      </c>
      <c r="B82" s="69">
        <v>768217173</v>
      </c>
      <c r="C82" s="69" t="s">
        <v>1353</v>
      </c>
      <c r="D82" s="62" t="s">
        <v>394</v>
      </c>
      <c r="E82" s="63"/>
      <c r="F82" s="63"/>
      <c r="G82" s="62" t="s">
        <v>328</v>
      </c>
      <c r="H82" s="67"/>
      <c r="I82" s="63"/>
      <c r="J82" s="63"/>
      <c r="K82" s="63"/>
      <c r="L82" s="63"/>
      <c r="M82" s="63"/>
      <c r="N82" s="63"/>
      <c r="O82" s="63"/>
      <c r="P82" s="63"/>
      <c r="Q82" s="62" t="s">
        <v>690</v>
      </c>
      <c r="R82" s="63">
        <v>0</v>
      </c>
      <c r="S82" s="63"/>
      <c r="T82" s="63"/>
      <c r="U82" s="69"/>
      <c r="V82" s="69"/>
      <c r="W82" s="65"/>
      <c r="X82" s="89">
        <v>0</v>
      </c>
      <c r="Y82" s="66">
        <v>0</v>
      </c>
      <c r="Z82" s="66">
        <v>0</v>
      </c>
      <c r="AA82" s="93">
        <v>0</v>
      </c>
      <c r="AB82" s="98">
        <v>0</v>
      </c>
      <c r="AC82" s="102">
        <v>0</v>
      </c>
    </row>
    <row r="83" spans="1:29" s="58" customFormat="1" ht="18" customHeight="1" x14ac:dyDescent="0.2">
      <c r="A83" s="69" t="s">
        <v>660</v>
      </c>
      <c r="B83" s="69">
        <v>768651116</v>
      </c>
      <c r="C83" s="69" t="s">
        <v>816</v>
      </c>
      <c r="D83" s="62" t="s">
        <v>352</v>
      </c>
      <c r="E83" s="63" t="s">
        <v>817</v>
      </c>
      <c r="F83" s="63">
        <v>940127841</v>
      </c>
      <c r="G83" s="62" t="s">
        <v>725</v>
      </c>
      <c r="H83" s="77" t="s">
        <v>818</v>
      </c>
      <c r="I83" s="63"/>
      <c r="J83" s="63" t="s">
        <v>819</v>
      </c>
      <c r="K83" s="63"/>
      <c r="L83" s="63">
        <v>3</v>
      </c>
      <c r="M83" s="63"/>
      <c r="N83" s="63" t="s">
        <v>351</v>
      </c>
      <c r="O83" s="63"/>
      <c r="P83" s="63"/>
      <c r="Q83" s="63" t="s">
        <v>844</v>
      </c>
      <c r="R83" s="63">
        <v>0</v>
      </c>
      <c r="S83" s="63"/>
      <c r="T83" s="63"/>
      <c r="U83" s="69"/>
      <c r="V83" s="69"/>
      <c r="W83" s="65"/>
      <c r="X83" s="89">
        <v>0</v>
      </c>
      <c r="Y83" s="66">
        <v>0</v>
      </c>
      <c r="Z83" s="66">
        <v>0</v>
      </c>
      <c r="AA83" s="93">
        <v>0</v>
      </c>
      <c r="AB83" s="98">
        <v>0</v>
      </c>
      <c r="AC83" s="102">
        <v>0</v>
      </c>
    </row>
    <row r="84" spans="1:29" s="58" customFormat="1" ht="18" customHeight="1" x14ac:dyDescent="0.2">
      <c r="A84" s="67" t="s">
        <v>54</v>
      </c>
      <c r="B84" s="67">
        <v>770295106</v>
      </c>
      <c r="C84" s="61" t="s">
        <v>183</v>
      </c>
      <c r="D84" s="62" t="s">
        <v>1332</v>
      </c>
      <c r="E84" s="63" t="s">
        <v>184</v>
      </c>
      <c r="F84" s="62">
        <v>98659430</v>
      </c>
      <c r="G84" s="62" t="s">
        <v>328</v>
      </c>
      <c r="H84" s="76" t="s">
        <v>530</v>
      </c>
      <c r="I84" s="64"/>
      <c r="J84" s="62" t="s">
        <v>531</v>
      </c>
      <c r="K84" s="62" t="s">
        <v>1120</v>
      </c>
      <c r="L84" s="62">
        <v>1</v>
      </c>
      <c r="M84" s="62">
        <v>0</v>
      </c>
      <c r="N84" s="62" t="s">
        <v>824</v>
      </c>
      <c r="O84" s="64"/>
      <c r="P84" s="62"/>
      <c r="Q84" s="62" t="s">
        <v>836</v>
      </c>
      <c r="R84" s="62"/>
      <c r="S84" s="62" t="s">
        <v>112</v>
      </c>
      <c r="T84" s="62" t="s">
        <v>532</v>
      </c>
      <c r="U84" s="67" t="s">
        <v>378</v>
      </c>
      <c r="V84" s="67" t="s">
        <v>185</v>
      </c>
      <c r="W84" s="65"/>
      <c r="X84" s="89">
        <v>48</v>
      </c>
      <c r="Y84" s="66">
        <v>46</v>
      </c>
      <c r="Z84" s="66">
        <v>2</v>
      </c>
      <c r="AA84" s="93">
        <v>0.95833333333333337</v>
      </c>
      <c r="AB84" s="98">
        <v>1187520</v>
      </c>
      <c r="AC84" s="102">
        <v>47.15</v>
      </c>
    </row>
    <row r="85" spans="1:29" s="58" customFormat="1" ht="18" customHeight="1" x14ac:dyDescent="0.2">
      <c r="A85" s="67" t="s">
        <v>45</v>
      </c>
      <c r="B85" s="67">
        <v>770301300</v>
      </c>
      <c r="C85" s="61" t="s">
        <v>156</v>
      </c>
      <c r="D85" s="62" t="s">
        <v>394</v>
      </c>
      <c r="E85" s="63" t="s">
        <v>157</v>
      </c>
      <c r="F85" s="62" t="s">
        <v>1283</v>
      </c>
      <c r="G85" s="62" t="s">
        <v>328</v>
      </c>
      <c r="H85" s="76" t="s">
        <v>514</v>
      </c>
      <c r="I85" s="64"/>
      <c r="J85" s="62" t="s">
        <v>515</v>
      </c>
      <c r="K85" s="62" t="s">
        <v>103</v>
      </c>
      <c r="L85" s="62">
        <v>1</v>
      </c>
      <c r="M85" s="62">
        <v>0</v>
      </c>
      <c r="N85" s="62" t="s">
        <v>453</v>
      </c>
      <c r="O85" s="64"/>
      <c r="P85" s="75">
        <v>0.05</v>
      </c>
      <c r="Q85" s="62" t="s">
        <v>943</v>
      </c>
      <c r="R85" s="62"/>
      <c r="S85" s="62" t="s">
        <v>112</v>
      </c>
      <c r="T85" s="62" t="s">
        <v>516</v>
      </c>
      <c r="U85" s="67" t="s">
        <v>394</v>
      </c>
      <c r="V85" s="67" t="s">
        <v>158</v>
      </c>
      <c r="W85" s="65"/>
      <c r="X85" s="89">
        <v>607</v>
      </c>
      <c r="Y85" s="66">
        <v>565</v>
      </c>
      <c r="Z85" s="66">
        <v>42</v>
      </c>
      <c r="AA85" s="93">
        <v>0.93080724876441512</v>
      </c>
      <c r="AB85" s="98">
        <v>15074940</v>
      </c>
      <c r="AC85" s="102">
        <v>691.15</v>
      </c>
    </row>
    <row r="86" spans="1:29" s="58" customFormat="1" ht="18" customHeight="1" x14ac:dyDescent="0.2">
      <c r="A86" s="67" t="s">
        <v>72</v>
      </c>
      <c r="B86" s="67">
        <v>771432808</v>
      </c>
      <c r="C86" s="61" t="s">
        <v>256</v>
      </c>
      <c r="D86" s="62" t="s">
        <v>1333</v>
      </c>
      <c r="E86" s="63" t="s">
        <v>257</v>
      </c>
      <c r="F86" s="62">
        <v>998864093</v>
      </c>
      <c r="G86" s="62" t="s">
        <v>725</v>
      </c>
      <c r="H86" s="77" t="s">
        <v>805</v>
      </c>
      <c r="I86" s="64"/>
      <c r="J86" s="62" t="s">
        <v>1158</v>
      </c>
      <c r="K86" s="62" t="s">
        <v>366</v>
      </c>
      <c r="L86" s="62">
        <v>4</v>
      </c>
      <c r="M86" s="62">
        <v>0</v>
      </c>
      <c r="N86" s="62" t="s">
        <v>351</v>
      </c>
      <c r="O86" s="64"/>
      <c r="P86" s="62"/>
      <c r="Q86" s="62" t="s">
        <v>843</v>
      </c>
      <c r="R86" s="62"/>
      <c r="S86" s="62" t="s">
        <v>112</v>
      </c>
      <c r="T86" s="62" t="s">
        <v>388</v>
      </c>
      <c r="U86" s="67" t="s">
        <v>387</v>
      </c>
      <c r="V86" s="67"/>
      <c r="W86" s="65"/>
      <c r="X86" s="89">
        <v>143</v>
      </c>
      <c r="Y86" s="66">
        <v>112</v>
      </c>
      <c r="Z86" s="66">
        <v>31</v>
      </c>
      <c r="AA86" s="93">
        <v>0.78321678321678323</v>
      </c>
      <c r="AB86" s="98">
        <v>3547570</v>
      </c>
      <c r="AC86" s="102">
        <v>156.39999999999998</v>
      </c>
    </row>
    <row r="87" spans="1:29" s="58" customFormat="1" ht="18" customHeight="1" x14ac:dyDescent="0.2">
      <c r="A87" s="67" t="s">
        <v>579</v>
      </c>
      <c r="B87" s="67" t="s">
        <v>1367</v>
      </c>
      <c r="C87" s="61" t="s">
        <v>580</v>
      </c>
      <c r="D87" s="62" t="s">
        <v>586</v>
      </c>
      <c r="E87" s="63" t="s">
        <v>581</v>
      </c>
      <c r="F87" s="62" t="s">
        <v>582</v>
      </c>
      <c r="G87" s="62" t="s">
        <v>286</v>
      </c>
      <c r="H87" s="67" t="s">
        <v>583</v>
      </c>
      <c r="I87" s="62"/>
      <c r="J87" s="62"/>
      <c r="K87" s="62"/>
      <c r="L87" s="62"/>
      <c r="M87" s="62"/>
      <c r="N87" s="62" t="s">
        <v>552</v>
      </c>
      <c r="O87" s="64"/>
      <c r="P87" s="62"/>
      <c r="Q87" s="62" t="s">
        <v>836</v>
      </c>
      <c r="R87" s="62"/>
      <c r="S87" s="62" t="s">
        <v>584</v>
      </c>
      <c r="T87" s="62" t="s">
        <v>585</v>
      </c>
      <c r="U87" s="67" t="s">
        <v>586</v>
      </c>
      <c r="V87" s="67"/>
      <c r="W87" s="65"/>
      <c r="X87" s="89">
        <v>83</v>
      </c>
      <c r="Y87" s="66">
        <v>69</v>
      </c>
      <c r="Z87" s="66">
        <v>14</v>
      </c>
      <c r="AA87" s="93">
        <v>0.83132530120481929</v>
      </c>
      <c r="AB87" s="98">
        <v>2050170</v>
      </c>
      <c r="AC87" s="102">
        <v>114.99999999999999</v>
      </c>
    </row>
    <row r="88" spans="1:29" s="58" customFormat="1" ht="18" customHeight="1" x14ac:dyDescent="0.2">
      <c r="A88" s="67" t="s">
        <v>35</v>
      </c>
      <c r="B88" s="67">
        <v>773592101</v>
      </c>
      <c r="C88" s="61" t="s">
        <v>114</v>
      </c>
      <c r="D88" s="62" t="s">
        <v>330</v>
      </c>
      <c r="E88" s="63" t="s">
        <v>115</v>
      </c>
      <c r="F88" s="62" t="s">
        <v>1284</v>
      </c>
      <c r="G88" s="62" t="s">
        <v>328</v>
      </c>
      <c r="H88" s="76" t="s">
        <v>460</v>
      </c>
      <c r="I88" s="64"/>
      <c r="J88" s="62" t="s">
        <v>461</v>
      </c>
      <c r="K88" s="62" t="s">
        <v>103</v>
      </c>
      <c r="L88" s="62">
        <v>1</v>
      </c>
      <c r="M88" s="62">
        <v>0</v>
      </c>
      <c r="N88" s="62" t="s">
        <v>111</v>
      </c>
      <c r="O88" s="64"/>
      <c r="P88" s="75"/>
      <c r="Q88" s="62" t="s">
        <v>942</v>
      </c>
      <c r="R88" s="62"/>
      <c r="S88" s="62" t="s">
        <v>112</v>
      </c>
      <c r="T88" s="62" t="s">
        <v>113</v>
      </c>
      <c r="U88" s="67" t="s">
        <v>330</v>
      </c>
      <c r="V88" s="67" t="s">
        <v>116</v>
      </c>
      <c r="W88" s="65"/>
      <c r="X88" s="89">
        <v>0</v>
      </c>
      <c r="Y88" s="66">
        <v>0</v>
      </c>
      <c r="Z88" s="66">
        <v>0</v>
      </c>
      <c r="AA88" s="93">
        <v>0</v>
      </c>
      <c r="AB88" s="98">
        <v>0</v>
      </c>
      <c r="AC88" s="102">
        <v>0</v>
      </c>
    </row>
    <row r="89" spans="1:29" s="58" customFormat="1" ht="18" customHeight="1" x14ac:dyDescent="0.2">
      <c r="A89" s="69" t="s">
        <v>646</v>
      </c>
      <c r="B89" s="69">
        <v>775704608</v>
      </c>
      <c r="C89" s="69" t="s">
        <v>645</v>
      </c>
      <c r="D89" s="62" t="s">
        <v>326</v>
      </c>
      <c r="E89" s="63" t="s">
        <v>910</v>
      </c>
      <c r="F89" s="63"/>
      <c r="G89" s="62" t="s">
        <v>328</v>
      </c>
      <c r="H89" s="77" t="s">
        <v>911</v>
      </c>
      <c r="I89" s="63"/>
      <c r="J89" s="63"/>
      <c r="K89" s="63"/>
      <c r="L89" s="63">
        <v>4</v>
      </c>
      <c r="M89" s="63"/>
      <c r="N89" s="63" t="s">
        <v>121</v>
      </c>
      <c r="O89" s="63"/>
      <c r="P89" s="63"/>
      <c r="Q89" s="63" t="s">
        <v>836</v>
      </c>
      <c r="R89" s="63">
        <v>0</v>
      </c>
      <c r="S89" s="63"/>
      <c r="T89" s="63"/>
      <c r="U89" s="69"/>
      <c r="V89" s="69"/>
      <c r="W89" s="65"/>
      <c r="X89" s="89">
        <v>0</v>
      </c>
      <c r="Y89" s="66">
        <v>0</v>
      </c>
      <c r="Z89" s="66">
        <v>0</v>
      </c>
      <c r="AA89" s="93">
        <v>0</v>
      </c>
      <c r="AB89" s="98">
        <v>0</v>
      </c>
      <c r="AC89" s="102">
        <v>0</v>
      </c>
    </row>
    <row r="90" spans="1:29" s="58" customFormat="1" ht="18" customHeight="1" x14ac:dyDescent="0.2">
      <c r="A90" s="67" t="s">
        <v>44</v>
      </c>
      <c r="B90" s="67">
        <v>775765305</v>
      </c>
      <c r="C90" s="61" t="s">
        <v>153</v>
      </c>
      <c r="D90" s="62" t="s">
        <v>1334</v>
      </c>
      <c r="E90" s="63" t="s">
        <v>154</v>
      </c>
      <c r="F90" s="62" t="s">
        <v>1285</v>
      </c>
      <c r="G90" s="62" t="s">
        <v>328</v>
      </c>
      <c r="H90" s="67"/>
      <c r="I90" s="64"/>
      <c r="J90" s="62" t="s">
        <v>1159</v>
      </c>
      <c r="K90" s="62" t="s">
        <v>1036</v>
      </c>
      <c r="L90" s="62">
        <v>1</v>
      </c>
      <c r="M90" s="62">
        <v>0</v>
      </c>
      <c r="N90" s="62" t="s">
        <v>511</v>
      </c>
      <c r="O90" s="64"/>
      <c r="P90" s="62"/>
      <c r="Q90" s="62" t="s">
        <v>690</v>
      </c>
      <c r="R90" s="62"/>
      <c r="S90" s="62" t="s">
        <v>112</v>
      </c>
      <c r="T90" s="62" t="s">
        <v>512</v>
      </c>
      <c r="U90" s="67" t="s">
        <v>513</v>
      </c>
      <c r="V90" s="67" t="s">
        <v>155</v>
      </c>
      <c r="W90" s="65"/>
      <c r="X90" s="89">
        <v>0</v>
      </c>
      <c r="Y90" s="66">
        <v>0</v>
      </c>
      <c r="Z90" s="66">
        <v>0</v>
      </c>
      <c r="AA90" s="93">
        <v>0</v>
      </c>
      <c r="AB90" s="98">
        <v>0</v>
      </c>
      <c r="AC90" s="102">
        <v>0</v>
      </c>
    </row>
    <row r="91" spans="1:29" s="60" customFormat="1" ht="18" customHeight="1" x14ac:dyDescent="0.2">
      <c r="A91" s="67" t="s">
        <v>82</v>
      </c>
      <c r="B91" s="67">
        <v>775945109</v>
      </c>
      <c r="C91" s="61" t="s">
        <v>301</v>
      </c>
      <c r="D91" s="62" t="s">
        <v>1306</v>
      </c>
      <c r="E91" s="63" t="s">
        <v>302</v>
      </c>
      <c r="F91" s="62" t="s">
        <v>1286</v>
      </c>
      <c r="G91" s="62" t="s">
        <v>286</v>
      </c>
      <c r="H91" s="67"/>
      <c r="I91" s="64"/>
      <c r="J91" s="62" t="s">
        <v>1160</v>
      </c>
      <c r="K91" s="62" t="s">
        <v>103</v>
      </c>
      <c r="L91" s="62">
        <v>1</v>
      </c>
      <c r="M91" s="62">
        <v>0</v>
      </c>
      <c r="N91" s="62" t="s">
        <v>763</v>
      </c>
      <c r="O91" s="64"/>
      <c r="P91" s="62"/>
      <c r="Q91" s="62" t="s">
        <v>836</v>
      </c>
      <c r="R91" s="62"/>
      <c r="S91" s="62" t="s">
        <v>344</v>
      </c>
      <c r="T91" s="62" t="s">
        <v>550</v>
      </c>
      <c r="U91" s="67" t="str">
        <f>D91</f>
        <v xml:space="preserve">COPIAPO  </v>
      </c>
      <c r="V91" s="67"/>
      <c r="W91" s="65"/>
      <c r="X91" s="89">
        <v>0</v>
      </c>
      <c r="Y91" s="66">
        <v>0</v>
      </c>
      <c r="Z91" s="66">
        <v>0</v>
      </c>
      <c r="AA91" s="93">
        <v>0</v>
      </c>
      <c r="AB91" s="98">
        <v>0</v>
      </c>
      <c r="AC91" s="102">
        <v>8.0499999999999989</v>
      </c>
    </row>
    <row r="92" spans="1:29" s="58" customFormat="1" ht="18" customHeight="1" x14ac:dyDescent="0.2">
      <c r="A92" s="67" t="s">
        <v>75</v>
      </c>
      <c r="B92" s="67">
        <v>779347702</v>
      </c>
      <c r="C92" s="61" t="s">
        <v>389</v>
      </c>
      <c r="D92" s="62" t="s">
        <v>1313</v>
      </c>
      <c r="E92" s="63" t="s">
        <v>277</v>
      </c>
      <c r="F92" s="62" t="s">
        <v>1287</v>
      </c>
      <c r="G92" s="62" t="s">
        <v>328</v>
      </c>
      <c r="H92" s="67" t="s">
        <v>1225</v>
      </c>
      <c r="I92" s="64"/>
      <c r="J92" s="62" t="s">
        <v>278</v>
      </c>
      <c r="K92" s="62" t="s">
        <v>103</v>
      </c>
      <c r="L92" s="62">
        <v>3</v>
      </c>
      <c r="M92" s="62">
        <v>0</v>
      </c>
      <c r="N92" s="62" t="s">
        <v>343</v>
      </c>
      <c r="O92" s="64"/>
      <c r="P92" s="62"/>
      <c r="Q92" s="63" t="s">
        <v>836</v>
      </c>
      <c r="R92" s="62"/>
      <c r="S92" s="62" t="s">
        <v>390</v>
      </c>
      <c r="T92" s="62" t="s">
        <v>391</v>
      </c>
      <c r="U92" s="67" t="s">
        <v>359</v>
      </c>
      <c r="V92" s="67"/>
      <c r="W92" s="65"/>
      <c r="X92" s="89">
        <v>0</v>
      </c>
      <c r="Y92" s="66">
        <v>0</v>
      </c>
      <c r="Z92" s="66">
        <v>0</v>
      </c>
      <c r="AA92" s="93">
        <v>0</v>
      </c>
      <c r="AB92" s="98">
        <v>0</v>
      </c>
      <c r="AC92" s="102">
        <v>0</v>
      </c>
    </row>
    <row r="93" spans="1:29" s="58" customFormat="1" ht="18" customHeight="1" x14ac:dyDescent="0.2">
      <c r="A93" s="67" t="s">
        <v>568</v>
      </c>
      <c r="B93" s="67">
        <v>784161900</v>
      </c>
      <c r="C93" s="61" t="s">
        <v>208</v>
      </c>
      <c r="D93" s="62" t="s">
        <v>430</v>
      </c>
      <c r="E93" s="63" t="s">
        <v>209</v>
      </c>
      <c r="F93" s="62">
        <v>996407930</v>
      </c>
      <c r="G93" s="62" t="s">
        <v>633</v>
      </c>
      <c r="H93" s="76" t="s">
        <v>691</v>
      </c>
      <c r="I93" s="64" t="s">
        <v>692</v>
      </c>
      <c r="J93" s="62"/>
      <c r="K93" s="62"/>
      <c r="L93" s="62">
        <v>1</v>
      </c>
      <c r="M93" s="62"/>
      <c r="N93" s="62" t="s">
        <v>425</v>
      </c>
      <c r="O93" s="64"/>
      <c r="P93" s="62"/>
      <c r="Q93" s="62" t="s">
        <v>363</v>
      </c>
      <c r="R93" s="62" t="s">
        <v>689</v>
      </c>
      <c r="S93" s="62" t="s">
        <v>571</v>
      </c>
      <c r="T93" s="62" t="s">
        <v>572</v>
      </c>
      <c r="U93" s="67" t="s">
        <v>430</v>
      </c>
      <c r="V93" s="67"/>
      <c r="W93" s="65"/>
      <c r="X93" s="89">
        <v>260</v>
      </c>
      <c r="Y93" s="66">
        <v>225</v>
      </c>
      <c r="Z93" s="66">
        <v>35</v>
      </c>
      <c r="AA93" s="93">
        <v>0.86538461538461542</v>
      </c>
      <c r="AB93" s="98">
        <v>6417400</v>
      </c>
      <c r="AC93" s="102">
        <v>441.59999999999997</v>
      </c>
    </row>
    <row r="94" spans="1:29" s="58" customFormat="1" ht="18" customHeight="1" x14ac:dyDescent="0.2">
      <c r="A94" s="67" t="s">
        <v>83</v>
      </c>
      <c r="B94" s="67">
        <v>788014902</v>
      </c>
      <c r="C94" s="61" t="s">
        <v>303</v>
      </c>
      <c r="D94" s="62" t="s">
        <v>1306</v>
      </c>
      <c r="E94" s="63" t="s">
        <v>304</v>
      </c>
      <c r="F94" s="62" t="s">
        <v>1288</v>
      </c>
      <c r="G94" s="62" t="s">
        <v>286</v>
      </c>
      <c r="H94" s="67" t="s">
        <v>1226</v>
      </c>
      <c r="I94" s="64"/>
      <c r="J94" s="62" t="s">
        <v>1161</v>
      </c>
      <c r="K94" s="62" t="s">
        <v>1036</v>
      </c>
      <c r="L94" s="62">
        <v>1</v>
      </c>
      <c r="M94" s="62">
        <v>0</v>
      </c>
      <c r="N94" s="62" t="s">
        <v>1037</v>
      </c>
      <c r="O94" s="64"/>
      <c r="P94" s="62"/>
      <c r="Q94" s="62" t="s">
        <v>836</v>
      </c>
      <c r="R94" s="62"/>
      <c r="S94" s="62" t="s">
        <v>112</v>
      </c>
      <c r="T94" s="62" t="s">
        <v>551</v>
      </c>
      <c r="U94" s="67" t="str">
        <f>D94</f>
        <v xml:space="preserve">COPIAPO  </v>
      </c>
      <c r="V94" s="67"/>
      <c r="W94" s="65"/>
      <c r="X94" s="89">
        <v>151</v>
      </c>
      <c r="Y94" s="66">
        <v>138</v>
      </c>
      <c r="Z94" s="66">
        <v>13</v>
      </c>
      <c r="AA94" s="93">
        <v>0.91390728476821192</v>
      </c>
      <c r="AB94" s="98">
        <v>3729490</v>
      </c>
      <c r="AC94" s="102">
        <v>162.14999999999998</v>
      </c>
    </row>
    <row r="95" spans="1:29" s="58" customFormat="1" ht="18" customHeight="1" x14ac:dyDescent="0.2">
      <c r="A95" s="67" t="s">
        <v>73</v>
      </c>
      <c r="B95" s="67" t="s">
        <v>1368</v>
      </c>
      <c r="C95" s="61" t="s">
        <v>258</v>
      </c>
      <c r="D95" s="62" t="s">
        <v>349</v>
      </c>
      <c r="E95" s="63" t="s">
        <v>259</v>
      </c>
      <c r="F95" s="62" t="s">
        <v>1289</v>
      </c>
      <c r="G95" s="62" t="s">
        <v>328</v>
      </c>
      <c r="H95" s="67" t="s">
        <v>1227</v>
      </c>
      <c r="I95" s="64"/>
      <c r="J95" s="62" t="s">
        <v>1162</v>
      </c>
      <c r="K95" s="62" t="s">
        <v>103</v>
      </c>
      <c r="L95" s="62">
        <v>2</v>
      </c>
      <c r="M95" s="62">
        <v>0</v>
      </c>
      <c r="N95" s="62" t="s">
        <v>340</v>
      </c>
      <c r="O95" s="64"/>
      <c r="P95" s="62"/>
      <c r="Q95" s="62" t="s">
        <v>369</v>
      </c>
      <c r="R95" s="62"/>
      <c r="S95" s="62" t="s">
        <v>344</v>
      </c>
      <c r="T95" s="62" t="s">
        <v>392</v>
      </c>
      <c r="U95" s="67" t="s">
        <v>349</v>
      </c>
      <c r="V95" s="67"/>
      <c r="W95" s="65"/>
      <c r="X95" s="89">
        <v>133</v>
      </c>
      <c r="Y95" s="66">
        <v>118</v>
      </c>
      <c r="Z95" s="66">
        <v>15</v>
      </c>
      <c r="AA95" s="93">
        <v>0.88721804511278191</v>
      </c>
      <c r="AB95" s="98">
        <v>3325670</v>
      </c>
      <c r="AC95" s="102">
        <v>188.6</v>
      </c>
    </row>
    <row r="96" spans="1:29" s="58" customFormat="1" ht="18" customHeight="1" x14ac:dyDescent="0.2">
      <c r="A96" s="67" t="s">
        <v>85</v>
      </c>
      <c r="B96" s="67">
        <v>798279602</v>
      </c>
      <c r="C96" s="61" t="s">
        <v>313</v>
      </c>
      <c r="D96" s="62" t="s">
        <v>1335</v>
      </c>
      <c r="E96" s="63" t="s">
        <v>314</v>
      </c>
      <c r="F96" s="62" t="s">
        <v>1290</v>
      </c>
      <c r="G96" s="62" t="s">
        <v>286</v>
      </c>
      <c r="H96" s="67" t="s">
        <v>1228</v>
      </c>
      <c r="I96" s="64"/>
      <c r="J96" s="62" t="s">
        <v>1163</v>
      </c>
      <c r="K96" s="62" t="s">
        <v>1036</v>
      </c>
      <c r="L96" s="62">
        <v>3</v>
      </c>
      <c r="M96" s="62">
        <v>0</v>
      </c>
      <c r="N96" s="62" t="s">
        <v>552</v>
      </c>
      <c r="O96" s="64"/>
      <c r="P96" s="62"/>
      <c r="Q96" s="62" t="s">
        <v>836</v>
      </c>
      <c r="R96" s="62"/>
      <c r="S96" s="62" t="s">
        <v>553</v>
      </c>
      <c r="T96" s="62" t="s">
        <v>554</v>
      </c>
      <c r="U96" s="67" t="str">
        <f>D96</f>
        <v xml:space="preserve">COQUIMBO </v>
      </c>
      <c r="V96" s="67"/>
      <c r="W96" s="65"/>
      <c r="X96" s="89">
        <v>0</v>
      </c>
      <c r="Y96" s="66">
        <v>0</v>
      </c>
      <c r="Z96" s="66">
        <v>0</v>
      </c>
      <c r="AA96" s="93">
        <v>0</v>
      </c>
      <c r="AB96" s="98">
        <v>0</v>
      </c>
      <c r="AC96" s="102">
        <v>0</v>
      </c>
    </row>
    <row r="97" spans="1:29" s="59" customFormat="1" ht="18" customHeight="1" x14ac:dyDescent="0.2">
      <c r="A97" s="67" t="s">
        <v>62</v>
      </c>
      <c r="B97" s="67">
        <v>798629603</v>
      </c>
      <c r="C97" s="61" t="s">
        <v>205</v>
      </c>
      <c r="D97" s="62" t="s">
        <v>430</v>
      </c>
      <c r="E97" s="63" t="s">
        <v>206</v>
      </c>
      <c r="F97" s="62" t="s">
        <v>207</v>
      </c>
      <c r="G97" s="62" t="s">
        <v>633</v>
      </c>
      <c r="H97" s="67" t="s">
        <v>685</v>
      </c>
      <c r="I97" s="64"/>
      <c r="J97" s="62" t="s">
        <v>1164</v>
      </c>
      <c r="K97" s="62" t="s">
        <v>140</v>
      </c>
      <c r="L97" s="62">
        <v>3</v>
      </c>
      <c r="M97" s="62">
        <v>0</v>
      </c>
      <c r="N97" s="62" t="s">
        <v>426</v>
      </c>
      <c r="O97" s="64"/>
      <c r="P97" s="75"/>
      <c r="Q97" s="62" t="s">
        <v>363</v>
      </c>
      <c r="R97" s="62">
        <v>972386296</v>
      </c>
      <c r="S97" s="62" t="s">
        <v>431</v>
      </c>
      <c r="T97" s="62" t="s">
        <v>432</v>
      </c>
      <c r="U97" s="67" t="s">
        <v>430</v>
      </c>
      <c r="V97" s="67"/>
      <c r="W97" s="65"/>
      <c r="X97" s="89">
        <v>430</v>
      </c>
      <c r="Y97" s="66">
        <v>416</v>
      </c>
      <c r="Z97" s="66">
        <v>14</v>
      </c>
      <c r="AA97" s="93">
        <v>0.96744186046511627</v>
      </c>
      <c r="AB97" s="98">
        <v>10335700</v>
      </c>
      <c r="AC97" s="102">
        <v>557.75</v>
      </c>
    </row>
    <row r="98" spans="1:29" s="58" customFormat="1" ht="18" customHeight="1" x14ac:dyDescent="0.2">
      <c r="A98" s="67" t="s">
        <v>50</v>
      </c>
      <c r="B98" s="67">
        <v>799824906</v>
      </c>
      <c r="C98" s="61" t="s">
        <v>169</v>
      </c>
      <c r="D98" s="62" t="s">
        <v>1336</v>
      </c>
      <c r="E98" s="63" t="s">
        <v>170</v>
      </c>
      <c r="F98" s="62" t="s">
        <v>1291</v>
      </c>
      <c r="G98" s="62" t="s">
        <v>438</v>
      </c>
      <c r="H98" s="77" t="s">
        <v>867</v>
      </c>
      <c r="I98" s="64"/>
      <c r="J98" s="62" t="s">
        <v>1036</v>
      </c>
      <c r="K98" s="62" t="s">
        <v>103</v>
      </c>
      <c r="L98" s="62">
        <v>2</v>
      </c>
      <c r="M98" s="62">
        <v>0</v>
      </c>
      <c r="N98" s="62" t="s">
        <v>121</v>
      </c>
      <c r="O98" s="64"/>
      <c r="P98" s="62"/>
      <c r="Q98" s="62" t="s">
        <v>868</v>
      </c>
      <c r="R98" s="62"/>
      <c r="S98" s="62"/>
      <c r="T98" s="62" t="s">
        <v>869</v>
      </c>
      <c r="U98" s="67" t="s">
        <v>403</v>
      </c>
      <c r="V98" s="67" t="s">
        <v>101</v>
      </c>
      <c r="W98" s="65"/>
      <c r="X98" s="89">
        <v>2550</v>
      </c>
      <c r="Y98" s="66">
        <v>2487</v>
      </c>
      <c r="Z98" s="66">
        <v>63</v>
      </c>
      <c r="AA98" s="93">
        <v>0.97529411764705887</v>
      </c>
      <c r="AB98" s="98">
        <v>62313500</v>
      </c>
      <c r="AC98" s="102">
        <v>2889.95</v>
      </c>
    </row>
    <row r="99" spans="1:29" s="58" customFormat="1" ht="18" customHeight="1" x14ac:dyDescent="0.2">
      <c r="A99" s="67" t="s">
        <v>86</v>
      </c>
      <c r="B99" s="67">
        <v>812103008</v>
      </c>
      <c r="C99" s="61" t="s">
        <v>319</v>
      </c>
      <c r="D99" s="62" t="s">
        <v>320</v>
      </c>
      <c r="E99" s="63" t="s">
        <v>321</v>
      </c>
      <c r="F99" s="62">
        <v>962479655</v>
      </c>
      <c r="G99" s="62" t="s">
        <v>438</v>
      </c>
      <c r="H99" s="77" t="s">
        <v>820</v>
      </c>
      <c r="I99" s="64" t="s">
        <v>1175</v>
      </c>
      <c r="J99" s="62" t="s">
        <v>1165</v>
      </c>
      <c r="K99" s="62" t="s">
        <v>1036</v>
      </c>
      <c r="L99" s="62">
        <v>2</v>
      </c>
      <c r="M99" s="62">
        <v>0</v>
      </c>
      <c r="N99" s="62" t="s">
        <v>563</v>
      </c>
      <c r="O99" s="64"/>
      <c r="P99" s="62">
        <v>5</v>
      </c>
      <c r="Q99" s="62" t="s">
        <v>369</v>
      </c>
      <c r="R99" s="62"/>
      <c r="S99" s="62" t="s">
        <v>112</v>
      </c>
      <c r="T99" s="62" t="s">
        <v>566</v>
      </c>
      <c r="U99" s="67" t="str">
        <f>D99</f>
        <v>SAN ANTONIO</v>
      </c>
      <c r="V99" s="67"/>
      <c r="W99" s="65"/>
      <c r="X99" s="89">
        <v>144</v>
      </c>
      <c r="Y99" s="66">
        <v>116</v>
      </c>
      <c r="Z99" s="66">
        <v>28</v>
      </c>
      <c r="AA99" s="93">
        <v>0.80555555555555558</v>
      </c>
      <c r="AB99" s="98">
        <v>3562560</v>
      </c>
      <c r="AC99" s="102">
        <v>173.64999999999998</v>
      </c>
    </row>
    <row r="100" spans="1:29" s="58" customFormat="1" ht="18" customHeight="1" x14ac:dyDescent="0.2">
      <c r="A100" s="67" t="s">
        <v>34</v>
      </c>
      <c r="B100" s="67">
        <v>812425005</v>
      </c>
      <c r="C100" s="61" t="s">
        <v>107</v>
      </c>
      <c r="D100" s="62" t="s">
        <v>1323</v>
      </c>
      <c r="E100" s="63" t="s">
        <v>108</v>
      </c>
      <c r="F100" s="62" t="s">
        <v>1292</v>
      </c>
      <c r="G100" s="62" t="s">
        <v>328</v>
      </c>
      <c r="H100" s="67" t="s">
        <v>109</v>
      </c>
      <c r="I100" s="64"/>
      <c r="J100" s="62" t="s">
        <v>1036</v>
      </c>
      <c r="K100" s="62" t="s">
        <v>1036</v>
      </c>
      <c r="L100" s="62">
        <v>2</v>
      </c>
      <c r="M100" s="62">
        <v>0</v>
      </c>
      <c r="N100" s="62" t="s">
        <v>121</v>
      </c>
      <c r="O100" s="64"/>
      <c r="P100" s="75">
        <v>0.05</v>
      </c>
      <c r="Q100" s="62" t="s">
        <v>942</v>
      </c>
      <c r="R100" s="62"/>
      <c r="S100" s="62" t="s">
        <v>112</v>
      </c>
      <c r="T100" s="62" t="s">
        <v>456</v>
      </c>
      <c r="U100" s="67" t="s">
        <v>457</v>
      </c>
      <c r="V100" s="67" t="s">
        <v>101</v>
      </c>
      <c r="W100" s="65"/>
      <c r="X100" s="89">
        <v>758</v>
      </c>
      <c r="Y100" s="66">
        <v>284</v>
      </c>
      <c r="Z100" s="66">
        <v>474</v>
      </c>
      <c r="AA100" s="93">
        <v>0.37467018469656993</v>
      </c>
      <c r="AB100" s="98">
        <v>18103342</v>
      </c>
      <c r="AC100" s="102">
        <v>1179.8999999999999</v>
      </c>
    </row>
    <row r="101" spans="1:29" s="58" customFormat="1" ht="18" customHeight="1" x14ac:dyDescent="0.2">
      <c r="A101" s="67" t="s">
        <v>34</v>
      </c>
      <c r="B101" s="67">
        <v>812425005</v>
      </c>
      <c r="C101" s="61" t="s">
        <v>107</v>
      </c>
      <c r="D101" s="62" t="s">
        <v>1309</v>
      </c>
      <c r="E101" s="63" t="s">
        <v>132</v>
      </c>
      <c r="F101" s="62" t="s">
        <v>1293</v>
      </c>
      <c r="G101" s="62" t="s">
        <v>328</v>
      </c>
      <c r="H101" s="67" t="s">
        <v>133</v>
      </c>
      <c r="I101" s="64"/>
      <c r="J101" s="62" t="s">
        <v>1036</v>
      </c>
      <c r="K101" s="62" t="s">
        <v>1036</v>
      </c>
      <c r="L101" s="62">
        <v>2</v>
      </c>
      <c r="M101" s="62">
        <v>0</v>
      </c>
      <c r="N101" s="62" t="s">
        <v>121</v>
      </c>
      <c r="O101" s="64"/>
      <c r="P101" s="75">
        <v>0.05</v>
      </c>
      <c r="Q101" s="62" t="s">
        <v>942</v>
      </c>
      <c r="R101" s="62"/>
      <c r="S101" s="62" t="s">
        <v>112</v>
      </c>
      <c r="T101" s="62" t="s">
        <v>456</v>
      </c>
      <c r="U101" s="67" t="s">
        <v>470</v>
      </c>
      <c r="V101" s="67" t="s">
        <v>101</v>
      </c>
      <c r="W101" s="65"/>
      <c r="X101" s="89">
        <v>758</v>
      </c>
      <c r="Y101" s="66">
        <v>284</v>
      </c>
      <c r="Z101" s="66">
        <v>474</v>
      </c>
      <c r="AA101" s="93">
        <v>0.37467018469656993</v>
      </c>
      <c r="AB101" s="98">
        <v>18103342</v>
      </c>
      <c r="AC101" s="102">
        <v>1179.8999999999999</v>
      </c>
    </row>
    <row r="102" spans="1:29" s="58" customFormat="1" ht="18" customHeight="1" x14ac:dyDescent="0.2">
      <c r="A102" s="67" t="s">
        <v>34</v>
      </c>
      <c r="B102" s="67">
        <v>812425005</v>
      </c>
      <c r="C102" s="61" t="s">
        <v>176</v>
      </c>
      <c r="D102" s="62" t="s">
        <v>325</v>
      </c>
      <c r="E102" s="63" t="s">
        <v>177</v>
      </c>
      <c r="F102" s="62" t="s">
        <v>178</v>
      </c>
      <c r="G102" s="62" t="s">
        <v>328</v>
      </c>
      <c r="H102" s="67" t="s">
        <v>179</v>
      </c>
      <c r="I102" s="64"/>
      <c r="J102" s="62" t="s">
        <v>1036</v>
      </c>
      <c r="K102" s="62" t="s">
        <v>140</v>
      </c>
      <c r="L102" s="62">
        <v>3</v>
      </c>
      <c r="M102" s="62">
        <v>0</v>
      </c>
      <c r="N102" s="62"/>
      <c r="O102" s="64"/>
      <c r="P102" s="75">
        <v>0.05</v>
      </c>
      <c r="Q102" s="62" t="s">
        <v>942</v>
      </c>
      <c r="R102" s="62"/>
      <c r="S102" s="62"/>
      <c r="T102" s="62"/>
      <c r="U102" s="67"/>
      <c r="V102" s="67" t="s">
        <v>101</v>
      </c>
      <c r="W102" s="65"/>
      <c r="X102" s="89">
        <v>758</v>
      </c>
      <c r="Y102" s="66">
        <v>284</v>
      </c>
      <c r="Z102" s="66">
        <v>474</v>
      </c>
      <c r="AA102" s="93">
        <v>0.37467018469656993</v>
      </c>
      <c r="AB102" s="98">
        <v>18103342</v>
      </c>
      <c r="AC102" s="102">
        <v>1179.8999999999999</v>
      </c>
    </row>
    <row r="103" spans="1:29" s="58" customFormat="1" ht="18" customHeight="1" x14ac:dyDescent="0.2">
      <c r="A103" s="67" t="s">
        <v>34</v>
      </c>
      <c r="B103" s="67">
        <v>812425005</v>
      </c>
      <c r="C103" s="61" t="s">
        <v>176</v>
      </c>
      <c r="D103" s="62" t="s">
        <v>1324</v>
      </c>
      <c r="E103" s="63" t="s">
        <v>225</v>
      </c>
      <c r="F103" s="62" t="s">
        <v>992</v>
      </c>
      <c r="G103" s="62" t="s">
        <v>438</v>
      </c>
      <c r="H103" s="67" t="s">
        <v>226</v>
      </c>
      <c r="I103" s="64" t="s">
        <v>1176</v>
      </c>
      <c r="J103" s="62" t="s">
        <v>1166</v>
      </c>
      <c r="K103" s="62" t="s">
        <v>1036</v>
      </c>
      <c r="L103" s="62">
        <v>1</v>
      </c>
      <c r="M103" s="62">
        <v>0</v>
      </c>
      <c r="N103" s="62" t="s">
        <v>121</v>
      </c>
      <c r="O103" s="64"/>
      <c r="P103" s="75">
        <v>0.05</v>
      </c>
      <c r="Q103" s="62" t="s">
        <v>942</v>
      </c>
      <c r="R103" s="62"/>
      <c r="S103" s="62" t="s">
        <v>112</v>
      </c>
      <c r="T103" s="62" t="s">
        <v>393</v>
      </c>
      <c r="U103" s="67" t="s">
        <v>326</v>
      </c>
      <c r="V103" s="67"/>
      <c r="W103" s="65"/>
      <c r="X103" s="89">
        <v>758</v>
      </c>
      <c r="Y103" s="66">
        <v>284</v>
      </c>
      <c r="Z103" s="66">
        <v>474</v>
      </c>
      <c r="AA103" s="93">
        <v>0.37467018469656993</v>
      </c>
      <c r="AB103" s="98">
        <v>18103342</v>
      </c>
      <c r="AC103" s="102">
        <v>1179.8999999999999</v>
      </c>
    </row>
    <row r="104" spans="1:29" s="58" customFormat="1" ht="18" customHeight="1" x14ac:dyDescent="0.2">
      <c r="A104" s="67" t="s">
        <v>34</v>
      </c>
      <c r="B104" s="67">
        <v>812425005</v>
      </c>
      <c r="C104" s="61" t="s">
        <v>227</v>
      </c>
      <c r="D104" s="62" t="s">
        <v>1337</v>
      </c>
      <c r="E104" s="63" t="s">
        <v>228</v>
      </c>
      <c r="F104" s="62" t="s">
        <v>229</v>
      </c>
      <c r="G104" s="62" t="s">
        <v>438</v>
      </c>
      <c r="H104" s="67" t="s">
        <v>1229</v>
      </c>
      <c r="I104" s="64"/>
      <c r="J104" s="62" t="s">
        <v>1036</v>
      </c>
      <c r="K104" s="62" t="s">
        <v>103</v>
      </c>
      <c r="L104" s="62">
        <v>3</v>
      </c>
      <c r="M104" s="62">
        <v>0</v>
      </c>
      <c r="N104" s="62" t="s">
        <v>121</v>
      </c>
      <c r="O104" s="64"/>
      <c r="P104" s="75">
        <v>0.05</v>
      </c>
      <c r="Q104" s="62" t="s">
        <v>942</v>
      </c>
      <c r="R104" s="62"/>
      <c r="S104" s="62" t="s">
        <v>112</v>
      </c>
      <c r="T104" s="62" t="s">
        <v>393</v>
      </c>
      <c r="U104" s="67" t="s">
        <v>448</v>
      </c>
      <c r="V104" s="67"/>
      <c r="W104" s="65"/>
      <c r="X104" s="89">
        <v>758</v>
      </c>
      <c r="Y104" s="66">
        <v>284</v>
      </c>
      <c r="Z104" s="66">
        <v>474</v>
      </c>
      <c r="AA104" s="93">
        <v>0.37467018469656993</v>
      </c>
      <c r="AB104" s="98">
        <v>18103342</v>
      </c>
      <c r="AC104" s="102">
        <v>1179.8999999999999</v>
      </c>
    </row>
    <row r="105" spans="1:29" s="59" customFormat="1" ht="18" customHeight="1" x14ac:dyDescent="0.2">
      <c r="A105" s="67" t="s">
        <v>34</v>
      </c>
      <c r="B105" s="67">
        <v>812425005</v>
      </c>
      <c r="C105" s="61" t="s">
        <v>264</v>
      </c>
      <c r="D105" s="62" t="s">
        <v>394</v>
      </c>
      <c r="E105" s="63" t="s">
        <v>265</v>
      </c>
      <c r="F105" s="62" t="s">
        <v>1036</v>
      </c>
      <c r="G105" s="62" t="s">
        <v>328</v>
      </c>
      <c r="H105" s="67" t="s">
        <v>266</v>
      </c>
      <c r="I105" s="64"/>
      <c r="J105" s="62" t="s">
        <v>1036</v>
      </c>
      <c r="K105" s="62" t="s">
        <v>366</v>
      </c>
      <c r="L105" s="62">
        <v>2</v>
      </c>
      <c r="M105" s="62">
        <v>0</v>
      </c>
      <c r="N105" s="62" t="s">
        <v>121</v>
      </c>
      <c r="O105" s="64"/>
      <c r="P105" s="75">
        <v>0.05</v>
      </c>
      <c r="Q105" s="62" t="s">
        <v>942</v>
      </c>
      <c r="R105" s="62"/>
      <c r="S105" s="62" t="s">
        <v>112</v>
      </c>
      <c r="T105" s="62" t="s">
        <v>393</v>
      </c>
      <c r="U105" s="67" t="s">
        <v>394</v>
      </c>
      <c r="V105" s="67"/>
      <c r="W105" s="65"/>
      <c r="X105" s="89">
        <v>758</v>
      </c>
      <c r="Y105" s="66">
        <v>284</v>
      </c>
      <c r="Z105" s="66">
        <v>474</v>
      </c>
      <c r="AA105" s="93">
        <v>0.37467018469656993</v>
      </c>
      <c r="AB105" s="98">
        <v>18103342</v>
      </c>
      <c r="AC105" s="102">
        <v>1179.8999999999999</v>
      </c>
    </row>
    <row r="106" spans="1:29" s="58" customFormat="1" ht="18" customHeight="1" x14ac:dyDescent="0.2">
      <c r="A106" s="67" t="s">
        <v>48</v>
      </c>
      <c r="B106" s="67">
        <v>820166000</v>
      </c>
      <c r="C106" s="61" t="s">
        <v>164</v>
      </c>
      <c r="D106" s="62" t="s">
        <v>1312</v>
      </c>
      <c r="E106" s="63" t="s">
        <v>165</v>
      </c>
      <c r="F106" s="62" t="s">
        <v>1294</v>
      </c>
      <c r="G106" s="62" t="s">
        <v>438</v>
      </c>
      <c r="H106" s="76" t="s">
        <v>524</v>
      </c>
      <c r="I106" s="64"/>
      <c r="J106" s="62" t="s">
        <v>1036</v>
      </c>
      <c r="K106" s="68">
        <v>41620</v>
      </c>
      <c r="L106" s="62">
        <v>3</v>
      </c>
      <c r="M106" s="62">
        <v>0</v>
      </c>
      <c r="N106" s="62" t="s">
        <v>525</v>
      </c>
      <c r="O106" s="64"/>
      <c r="P106" s="62"/>
      <c r="Q106" s="62" t="s">
        <v>836</v>
      </c>
      <c r="R106" s="62"/>
      <c r="S106" s="62" t="s">
        <v>112</v>
      </c>
      <c r="T106" s="62" t="s">
        <v>526</v>
      </c>
      <c r="U106" s="67" t="s">
        <v>523</v>
      </c>
      <c r="V106" s="67" t="s">
        <v>166</v>
      </c>
      <c r="W106" s="65"/>
      <c r="X106" s="89">
        <v>212</v>
      </c>
      <c r="Y106" s="66">
        <v>186</v>
      </c>
      <c r="Z106" s="66">
        <v>26</v>
      </c>
      <c r="AA106" s="93">
        <v>0.87735849056603776</v>
      </c>
      <c r="AB106" s="98">
        <v>5217880</v>
      </c>
      <c r="AC106" s="102">
        <v>213.89999999999998</v>
      </c>
    </row>
    <row r="107" spans="1:29" s="58" customFormat="1" ht="18" customHeight="1" x14ac:dyDescent="0.2">
      <c r="A107" s="67" t="s">
        <v>60</v>
      </c>
      <c r="B107" s="67">
        <v>821207002</v>
      </c>
      <c r="C107" s="61" t="s">
        <v>201</v>
      </c>
      <c r="D107" s="62" t="s">
        <v>430</v>
      </c>
      <c r="E107" s="63" t="s">
        <v>202</v>
      </c>
      <c r="F107" s="62" t="s">
        <v>1295</v>
      </c>
      <c r="G107" s="62" t="s">
        <v>633</v>
      </c>
      <c r="H107" s="67" t="s">
        <v>704</v>
      </c>
      <c r="I107" s="64"/>
      <c r="J107" s="62" t="s">
        <v>1167</v>
      </c>
      <c r="K107" s="62" t="s">
        <v>1036</v>
      </c>
      <c r="L107" s="62">
        <v>1</v>
      </c>
      <c r="M107" s="62">
        <v>0</v>
      </c>
      <c r="N107" s="62" t="s">
        <v>426</v>
      </c>
      <c r="O107" s="64"/>
      <c r="P107" s="62"/>
      <c r="Q107" s="62" t="s">
        <v>690</v>
      </c>
      <c r="R107" s="62"/>
      <c r="S107" s="62" t="s">
        <v>112</v>
      </c>
      <c r="T107" s="62" t="s">
        <v>433</v>
      </c>
      <c r="U107" s="67" t="s">
        <v>430</v>
      </c>
      <c r="V107" s="67"/>
      <c r="W107" s="65"/>
      <c r="X107" s="89">
        <v>0</v>
      </c>
      <c r="Y107" s="66">
        <v>0</v>
      </c>
      <c r="Z107" s="66">
        <v>0</v>
      </c>
      <c r="AA107" s="93">
        <v>0</v>
      </c>
      <c r="AB107" s="98">
        <v>0</v>
      </c>
      <c r="AC107" s="102">
        <v>0</v>
      </c>
    </row>
    <row r="108" spans="1:29" s="58" customFormat="1" ht="18" customHeight="1" x14ac:dyDescent="0.2">
      <c r="A108" s="69" t="s">
        <v>644</v>
      </c>
      <c r="B108" s="69">
        <v>833827006</v>
      </c>
      <c r="C108" s="69" t="s">
        <v>1354</v>
      </c>
      <c r="D108" s="62" t="s">
        <v>326</v>
      </c>
      <c r="E108" s="63"/>
      <c r="F108" s="63"/>
      <c r="G108" s="62" t="s">
        <v>438</v>
      </c>
      <c r="H108" s="67"/>
      <c r="I108" s="63"/>
      <c r="J108" s="63"/>
      <c r="K108" s="63"/>
      <c r="L108" s="63"/>
      <c r="M108" s="63"/>
      <c r="N108" s="63"/>
      <c r="O108" s="63"/>
      <c r="P108" s="63"/>
      <c r="Q108" s="63" t="s">
        <v>868</v>
      </c>
      <c r="R108" s="63">
        <v>0</v>
      </c>
      <c r="S108" s="63"/>
      <c r="T108" s="63"/>
      <c r="U108" s="69"/>
      <c r="V108" s="69"/>
      <c r="W108" s="65"/>
      <c r="X108" s="89">
        <v>0</v>
      </c>
      <c r="Y108" s="66">
        <v>0</v>
      </c>
      <c r="Z108" s="66">
        <v>0</v>
      </c>
      <c r="AA108" s="93">
        <v>0</v>
      </c>
      <c r="AB108" s="98">
        <v>0</v>
      </c>
      <c r="AC108" s="102">
        <v>0</v>
      </c>
    </row>
    <row r="109" spans="1:29" s="58" customFormat="1" ht="18" customHeight="1" x14ac:dyDescent="0.2">
      <c r="A109" s="67" t="s">
        <v>84</v>
      </c>
      <c r="B109" s="67">
        <v>837158001</v>
      </c>
      <c r="C109" s="61" t="s">
        <v>309</v>
      </c>
      <c r="D109" s="62" t="s">
        <v>1338</v>
      </c>
      <c r="E109" s="63" t="s">
        <v>310</v>
      </c>
      <c r="F109" s="62" t="s">
        <v>1296</v>
      </c>
      <c r="G109" s="62" t="s">
        <v>286</v>
      </c>
      <c r="H109" s="67" t="s">
        <v>1230</v>
      </c>
      <c r="I109" s="64"/>
      <c r="J109" s="62" t="s">
        <v>1168</v>
      </c>
      <c r="K109" s="62" t="s">
        <v>103</v>
      </c>
      <c r="L109" s="62">
        <v>3</v>
      </c>
      <c r="M109" s="62">
        <v>0</v>
      </c>
      <c r="N109" s="62" t="s">
        <v>560</v>
      </c>
      <c r="O109" s="64"/>
      <c r="P109" s="62"/>
      <c r="Q109" s="62" t="s">
        <v>836</v>
      </c>
      <c r="R109" s="62"/>
      <c r="S109" s="62" t="s">
        <v>112</v>
      </c>
      <c r="T109" s="62" t="s">
        <v>561</v>
      </c>
      <c r="U109" s="67" t="str">
        <f>D109</f>
        <v xml:space="preserve">VALLENAR </v>
      </c>
      <c r="V109" s="67"/>
      <c r="W109" s="65"/>
      <c r="X109" s="89">
        <v>0</v>
      </c>
      <c r="Y109" s="66">
        <v>0</v>
      </c>
      <c r="Z109" s="66">
        <v>0</v>
      </c>
      <c r="AA109" s="93">
        <v>0</v>
      </c>
      <c r="AB109" s="98">
        <v>0</v>
      </c>
      <c r="AC109" s="102">
        <v>0</v>
      </c>
    </row>
    <row r="110" spans="1:29" s="58" customFormat="1" ht="18" customHeight="1" x14ac:dyDescent="0.2">
      <c r="A110" s="67" t="s">
        <v>41</v>
      </c>
      <c r="B110" s="67">
        <v>856907007</v>
      </c>
      <c r="C110" s="61" t="s">
        <v>145</v>
      </c>
      <c r="D110" s="62" t="s">
        <v>1321</v>
      </c>
      <c r="E110" s="63" t="s">
        <v>146</v>
      </c>
      <c r="F110" s="62" t="s">
        <v>1297</v>
      </c>
      <c r="G110" s="62" t="s">
        <v>438</v>
      </c>
      <c r="H110" s="77" t="s">
        <v>793</v>
      </c>
      <c r="I110" s="64"/>
      <c r="J110" s="62" t="s">
        <v>1169</v>
      </c>
      <c r="K110" s="62" t="s">
        <v>1113</v>
      </c>
      <c r="L110" s="62">
        <v>1</v>
      </c>
      <c r="M110" s="62">
        <v>0</v>
      </c>
      <c r="N110" s="62" t="s">
        <v>495</v>
      </c>
      <c r="O110" s="64"/>
      <c r="P110" s="75">
        <v>0.05</v>
      </c>
      <c r="Q110" s="62" t="s">
        <v>794</v>
      </c>
      <c r="R110" s="62">
        <v>96762758</v>
      </c>
      <c r="S110" s="62" t="s">
        <v>112</v>
      </c>
      <c r="T110" s="62" t="s">
        <v>496</v>
      </c>
      <c r="U110" s="67" t="s">
        <v>402</v>
      </c>
      <c r="V110" s="67"/>
      <c r="W110" s="65"/>
      <c r="X110" s="89">
        <v>1125</v>
      </c>
      <c r="Y110" s="66">
        <v>992</v>
      </c>
      <c r="Z110" s="66">
        <v>133</v>
      </c>
      <c r="AA110" s="93">
        <v>0.88177777777777777</v>
      </c>
      <c r="AB110" s="98">
        <v>28017750</v>
      </c>
      <c r="AC110" s="102">
        <v>1355.85</v>
      </c>
    </row>
    <row r="111" spans="1:29" s="58" customFormat="1" ht="18" customHeight="1" x14ac:dyDescent="0.2">
      <c r="A111" s="67" t="s">
        <v>37</v>
      </c>
      <c r="B111" s="67">
        <v>869336009</v>
      </c>
      <c r="C111" s="61" t="s">
        <v>129</v>
      </c>
      <c r="D111" s="62" t="s">
        <v>1309</v>
      </c>
      <c r="E111" s="63" t="s">
        <v>130</v>
      </c>
      <c r="F111" s="62">
        <v>993255890</v>
      </c>
      <c r="G111" s="62" t="s">
        <v>328</v>
      </c>
      <c r="H111" s="77" t="s">
        <v>872</v>
      </c>
      <c r="I111" s="64"/>
      <c r="J111" s="62" t="s">
        <v>1170</v>
      </c>
      <c r="K111" s="62" t="s">
        <v>103</v>
      </c>
      <c r="L111" s="62">
        <v>1</v>
      </c>
      <c r="M111" s="62">
        <v>0</v>
      </c>
      <c r="N111" s="62" t="s">
        <v>471</v>
      </c>
      <c r="O111" s="64"/>
      <c r="P111" s="62"/>
      <c r="Q111" s="62" t="s">
        <v>836</v>
      </c>
      <c r="R111" s="62"/>
      <c r="S111" s="62" t="s">
        <v>112</v>
      </c>
      <c r="T111" s="62" t="s">
        <v>472</v>
      </c>
      <c r="U111" s="67" t="s">
        <v>470</v>
      </c>
      <c r="V111" s="67" t="s">
        <v>131</v>
      </c>
      <c r="W111" s="65"/>
      <c r="X111" s="89">
        <v>102</v>
      </c>
      <c r="Y111" s="66">
        <v>94</v>
      </c>
      <c r="Z111" s="66">
        <v>8</v>
      </c>
      <c r="AA111" s="93">
        <v>0.92156862745098034</v>
      </c>
      <c r="AB111" s="98">
        <v>2514980</v>
      </c>
      <c r="AC111" s="102">
        <v>120.74999999999999</v>
      </c>
    </row>
    <row r="112" spans="1:29" s="58" customFormat="1" ht="18" customHeight="1" x14ac:dyDescent="0.2">
      <c r="A112" s="67" t="s">
        <v>51</v>
      </c>
      <c r="B112" s="67">
        <v>892586004</v>
      </c>
      <c r="C112" s="61" t="s">
        <v>171</v>
      </c>
      <c r="D112" s="62" t="s">
        <v>1336</v>
      </c>
      <c r="E112" s="63" t="s">
        <v>172</v>
      </c>
      <c r="F112" s="62" t="s">
        <v>1298</v>
      </c>
      <c r="G112" s="62" t="s">
        <v>438</v>
      </c>
      <c r="H112" s="77" t="s">
        <v>796</v>
      </c>
      <c r="I112" s="64"/>
      <c r="J112" s="62" t="s">
        <v>527</v>
      </c>
      <c r="K112" s="62" t="s">
        <v>1113</v>
      </c>
      <c r="L112" s="62">
        <v>1</v>
      </c>
      <c r="M112" s="62">
        <v>0</v>
      </c>
      <c r="N112" s="62" t="s">
        <v>495</v>
      </c>
      <c r="O112" s="64"/>
      <c r="P112" s="75">
        <v>0.05</v>
      </c>
      <c r="Q112" s="62" t="s">
        <v>795</v>
      </c>
      <c r="R112" s="62"/>
      <c r="S112" s="62" t="s">
        <v>112</v>
      </c>
      <c r="T112" s="62" t="s">
        <v>496</v>
      </c>
      <c r="U112" s="67" t="s">
        <v>403</v>
      </c>
      <c r="V112" s="67" t="s">
        <v>173</v>
      </c>
      <c r="W112" s="65"/>
      <c r="X112" s="89">
        <v>408</v>
      </c>
      <c r="Y112" s="66">
        <v>349</v>
      </c>
      <c r="Z112" s="66">
        <v>59</v>
      </c>
      <c r="AA112" s="93">
        <v>0.85539215686274506</v>
      </c>
      <c r="AB112" s="98">
        <v>10154920</v>
      </c>
      <c r="AC112" s="102">
        <v>493.34999999999997</v>
      </c>
    </row>
    <row r="113" spans="1:29" s="58" customFormat="1" ht="18" customHeight="1" x14ac:dyDescent="0.2">
      <c r="A113" s="67" t="s">
        <v>604</v>
      </c>
      <c r="B113" s="67">
        <v>94111564</v>
      </c>
      <c r="C113" s="61" t="s">
        <v>601</v>
      </c>
      <c r="D113" s="62" t="s">
        <v>602</v>
      </c>
      <c r="E113" s="63" t="s">
        <v>603</v>
      </c>
      <c r="F113" s="62">
        <v>988285720</v>
      </c>
      <c r="G113" s="62" t="s">
        <v>725</v>
      </c>
      <c r="H113" s="67" t="s">
        <v>605</v>
      </c>
      <c r="I113" s="62"/>
      <c r="J113" s="70" t="s">
        <v>601</v>
      </c>
      <c r="K113" s="70"/>
      <c r="L113" s="62">
        <v>4</v>
      </c>
      <c r="M113" s="62"/>
      <c r="N113" s="62" t="s">
        <v>336</v>
      </c>
      <c r="O113" s="64"/>
      <c r="P113" s="62"/>
      <c r="Q113" s="71" t="s">
        <v>877</v>
      </c>
      <c r="R113" s="71">
        <v>88285720</v>
      </c>
      <c r="S113" s="71" t="s">
        <v>407</v>
      </c>
      <c r="T113" s="71" t="s">
        <v>606</v>
      </c>
      <c r="U113" s="74" t="s">
        <v>602</v>
      </c>
      <c r="V113" s="74">
        <v>0</v>
      </c>
      <c r="W113" s="65"/>
      <c r="X113" s="89">
        <v>0</v>
      </c>
      <c r="Y113" s="66">
        <v>0</v>
      </c>
      <c r="Z113" s="66">
        <v>0</v>
      </c>
      <c r="AA113" s="93">
        <v>0</v>
      </c>
      <c r="AB113" s="98">
        <v>0</v>
      </c>
      <c r="AC113" s="102">
        <v>0</v>
      </c>
    </row>
    <row r="114" spans="1:29" s="58" customFormat="1" ht="18" customHeight="1" x14ac:dyDescent="0.2">
      <c r="A114" s="67" t="s">
        <v>576</v>
      </c>
      <c r="B114" s="67">
        <v>96234422</v>
      </c>
      <c r="C114" s="61" t="s">
        <v>577</v>
      </c>
      <c r="D114" s="62" t="s">
        <v>578</v>
      </c>
      <c r="E114" s="63" t="s">
        <v>802</v>
      </c>
      <c r="F114" s="62">
        <v>94357123</v>
      </c>
      <c r="G114" s="62" t="s">
        <v>328</v>
      </c>
      <c r="H114" s="77" t="s">
        <v>804</v>
      </c>
      <c r="I114" s="64"/>
      <c r="J114" s="62"/>
      <c r="K114" s="62"/>
      <c r="L114" s="62">
        <v>1</v>
      </c>
      <c r="M114" s="62"/>
      <c r="N114" s="62" t="s">
        <v>343</v>
      </c>
      <c r="O114" s="64"/>
      <c r="P114" s="75">
        <v>0.05</v>
      </c>
      <c r="Q114" s="62" t="s">
        <v>690</v>
      </c>
      <c r="R114" s="62"/>
      <c r="S114" s="62"/>
      <c r="T114" s="62"/>
      <c r="U114" s="67"/>
      <c r="V114" s="67"/>
      <c r="W114" s="65"/>
      <c r="X114" s="89">
        <v>345</v>
      </c>
      <c r="Y114" s="66">
        <v>268</v>
      </c>
      <c r="Z114" s="66">
        <v>77</v>
      </c>
      <c r="AA114" s="93">
        <v>0.77681159420289858</v>
      </c>
      <c r="AB114" s="98">
        <v>8733550</v>
      </c>
      <c r="AC114" s="102">
        <v>359.95</v>
      </c>
    </row>
    <row r="115" spans="1:29" s="58" customFormat="1" ht="18" customHeight="1" x14ac:dyDescent="0.2">
      <c r="A115" s="67" t="s">
        <v>631</v>
      </c>
      <c r="B115" s="67">
        <v>98117083</v>
      </c>
      <c r="C115" s="61" t="s">
        <v>124</v>
      </c>
      <c r="D115" s="62" t="s">
        <v>1331</v>
      </c>
      <c r="E115" s="63" t="s">
        <v>125</v>
      </c>
      <c r="F115" s="62" t="s">
        <v>1299</v>
      </c>
      <c r="G115" s="62" t="s">
        <v>328</v>
      </c>
      <c r="H115" s="76" t="s">
        <v>463</v>
      </c>
      <c r="I115" s="64"/>
      <c r="J115" s="62" t="s">
        <v>464</v>
      </c>
      <c r="K115" s="62" t="s">
        <v>366</v>
      </c>
      <c r="L115" s="62">
        <v>2</v>
      </c>
      <c r="M115" s="62">
        <v>0</v>
      </c>
      <c r="N115" s="62" t="s">
        <v>351</v>
      </c>
      <c r="O115" s="64"/>
      <c r="P115" s="62"/>
      <c r="Q115" s="62" t="s">
        <v>690</v>
      </c>
      <c r="R115" s="62">
        <v>98277312</v>
      </c>
      <c r="S115" s="62" t="s">
        <v>344</v>
      </c>
      <c r="T115" s="62" t="s">
        <v>465</v>
      </c>
      <c r="U115" s="67" t="s">
        <v>466</v>
      </c>
      <c r="V115" s="67" t="s">
        <v>126</v>
      </c>
      <c r="W115" s="65"/>
      <c r="X115" s="89">
        <v>0</v>
      </c>
      <c r="Y115" s="66">
        <v>0</v>
      </c>
      <c r="Z115" s="66">
        <v>0</v>
      </c>
      <c r="AA115" s="93">
        <v>0</v>
      </c>
      <c r="AB115" s="98">
        <v>0</v>
      </c>
      <c r="AC115" s="102">
        <v>0</v>
      </c>
    </row>
    <row r="116" spans="1:29" s="58" customFormat="1" ht="18" customHeight="1" x14ac:dyDescent="0.2">
      <c r="A116" s="67" t="s">
        <v>38</v>
      </c>
      <c r="B116" s="67">
        <v>929460006</v>
      </c>
      <c r="C116" s="61" t="s">
        <v>134</v>
      </c>
      <c r="D116" s="62" t="s">
        <v>481</v>
      </c>
      <c r="E116" s="63" t="s">
        <v>135</v>
      </c>
      <c r="F116" s="62">
        <v>950365017</v>
      </c>
      <c r="G116" s="62" t="s">
        <v>438</v>
      </c>
      <c r="H116" s="67" t="s">
        <v>1231</v>
      </c>
      <c r="I116" s="64"/>
      <c r="J116" s="62" t="s">
        <v>1171</v>
      </c>
      <c r="K116" s="62" t="s">
        <v>103</v>
      </c>
      <c r="L116" s="62">
        <v>1</v>
      </c>
      <c r="M116" s="62">
        <v>0</v>
      </c>
      <c r="N116" s="62" t="s">
        <v>479</v>
      </c>
      <c r="O116" s="64"/>
      <c r="P116" s="75">
        <v>0.05</v>
      </c>
      <c r="Q116" s="62" t="s">
        <v>599</v>
      </c>
      <c r="R116" s="62"/>
      <c r="S116" s="62" t="s">
        <v>112</v>
      </c>
      <c r="T116" s="62" t="s">
        <v>480</v>
      </c>
      <c r="U116" s="67" t="s">
        <v>481</v>
      </c>
      <c r="V116" s="67" t="s">
        <v>136</v>
      </c>
      <c r="W116" s="65"/>
      <c r="X116" s="89">
        <v>501</v>
      </c>
      <c r="Y116" s="66">
        <v>441</v>
      </c>
      <c r="Z116" s="66">
        <v>60</v>
      </c>
      <c r="AA116" s="93">
        <v>0.88023952095808389</v>
      </c>
      <c r="AB116" s="98">
        <v>12412990</v>
      </c>
      <c r="AC116" s="102">
        <v>571.54999999999995</v>
      </c>
    </row>
    <row r="117" spans="1:29" s="58" customFormat="1" ht="18" customHeight="1" x14ac:dyDescent="0.2">
      <c r="A117" s="67" t="s">
        <v>46</v>
      </c>
      <c r="B117" s="67">
        <v>932240009</v>
      </c>
      <c r="C117" s="61" t="s">
        <v>159</v>
      </c>
      <c r="D117" s="62" t="s">
        <v>394</v>
      </c>
      <c r="E117" s="63" t="s">
        <v>160</v>
      </c>
      <c r="F117" s="62">
        <v>953729221</v>
      </c>
      <c r="G117" s="62" t="s">
        <v>328</v>
      </c>
      <c r="H117" s="77" t="s">
        <v>883</v>
      </c>
      <c r="I117" s="64" t="s">
        <v>1177</v>
      </c>
      <c r="J117" s="62" t="s">
        <v>884</v>
      </c>
      <c r="K117" s="62" t="s">
        <v>341</v>
      </c>
      <c r="L117" s="62">
        <v>4</v>
      </c>
      <c r="M117" s="62">
        <v>0</v>
      </c>
      <c r="N117" s="62" t="s">
        <v>111</v>
      </c>
      <c r="O117" s="64"/>
      <c r="P117" s="62"/>
      <c r="Q117" s="62" t="s">
        <v>868</v>
      </c>
      <c r="R117" s="62"/>
      <c r="S117" s="62" t="s">
        <v>112</v>
      </c>
      <c r="T117" s="62" t="s">
        <v>113</v>
      </c>
      <c r="U117" s="67" t="s">
        <v>394</v>
      </c>
      <c r="V117" s="67" t="s">
        <v>116</v>
      </c>
      <c r="W117" s="65"/>
      <c r="X117" s="89">
        <v>0</v>
      </c>
      <c r="Y117" s="66">
        <v>0</v>
      </c>
      <c r="Z117" s="66">
        <v>0</v>
      </c>
      <c r="AA117" s="93">
        <v>0</v>
      </c>
      <c r="AB117" s="98">
        <v>0</v>
      </c>
      <c r="AC117" s="102">
        <v>0</v>
      </c>
    </row>
    <row r="118" spans="1:29" s="58" customFormat="1" ht="18" customHeight="1" x14ac:dyDescent="0.2">
      <c r="A118" s="67" t="s">
        <v>63</v>
      </c>
      <c r="B118" s="67">
        <v>965890408</v>
      </c>
      <c r="C118" s="61" t="s">
        <v>217</v>
      </c>
      <c r="D118" s="62" t="s">
        <v>405</v>
      </c>
      <c r="E118" s="63" t="s">
        <v>218</v>
      </c>
      <c r="F118" s="62" t="s">
        <v>1300</v>
      </c>
      <c r="G118" s="62" t="s">
        <v>438</v>
      </c>
      <c r="H118" s="67" t="s">
        <v>1232</v>
      </c>
      <c r="I118" s="64"/>
      <c r="J118" s="62" t="s">
        <v>1172</v>
      </c>
      <c r="K118" s="62" t="s">
        <v>140</v>
      </c>
      <c r="L118" s="62">
        <v>1</v>
      </c>
      <c r="M118" s="62">
        <v>0</v>
      </c>
      <c r="N118" s="62" t="s">
        <v>439</v>
      </c>
      <c r="O118" s="64" t="s">
        <v>598</v>
      </c>
      <c r="P118" s="75">
        <v>0.05</v>
      </c>
      <c r="Q118" s="62" t="s">
        <v>942</v>
      </c>
      <c r="R118" s="62"/>
      <c r="S118" s="62" t="s">
        <v>112</v>
      </c>
      <c r="T118" s="62" t="s">
        <v>440</v>
      </c>
      <c r="U118" s="67" t="s">
        <v>405</v>
      </c>
      <c r="V118" s="67"/>
      <c r="W118" s="65"/>
      <c r="X118" s="89">
        <v>0</v>
      </c>
      <c r="Y118" s="66">
        <v>0</v>
      </c>
      <c r="Z118" s="66">
        <v>0</v>
      </c>
      <c r="AA118" s="93">
        <v>0</v>
      </c>
      <c r="AB118" s="98">
        <v>0</v>
      </c>
      <c r="AC118" s="102">
        <v>593.4</v>
      </c>
    </row>
    <row r="119" spans="1:29" s="58" customFormat="1" ht="18" customHeight="1" x14ac:dyDescent="0.2">
      <c r="A119" s="67" t="s">
        <v>57</v>
      </c>
      <c r="B119" s="67">
        <v>967323802</v>
      </c>
      <c r="C119" s="61" t="s">
        <v>191</v>
      </c>
      <c r="D119" s="62" t="s">
        <v>419</v>
      </c>
      <c r="E119" s="63" t="s">
        <v>192</v>
      </c>
      <c r="F119" s="62" t="s">
        <v>1301</v>
      </c>
      <c r="G119" s="62" t="s">
        <v>633</v>
      </c>
      <c r="H119" s="67" t="s">
        <v>1233</v>
      </c>
      <c r="I119" s="64"/>
      <c r="J119" s="62" t="s">
        <v>1173</v>
      </c>
      <c r="K119" s="68">
        <v>41619</v>
      </c>
      <c r="L119" s="62">
        <v>1</v>
      </c>
      <c r="M119" s="62">
        <v>0</v>
      </c>
      <c r="N119" s="62" t="s">
        <v>420</v>
      </c>
      <c r="O119" s="64"/>
      <c r="P119" s="62"/>
      <c r="Q119" s="62" t="s">
        <v>363</v>
      </c>
      <c r="R119" s="62" t="s">
        <v>696</v>
      </c>
      <c r="S119" s="62" t="s">
        <v>112</v>
      </c>
      <c r="T119" s="62" t="s">
        <v>421</v>
      </c>
      <c r="U119" s="67" t="s">
        <v>422</v>
      </c>
      <c r="V119" s="67"/>
      <c r="W119" s="65"/>
      <c r="X119" s="89">
        <v>0</v>
      </c>
      <c r="Y119" s="66">
        <v>0</v>
      </c>
      <c r="Z119" s="66">
        <v>0</v>
      </c>
      <c r="AA119" s="93">
        <v>0</v>
      </c>
      <c r="AB119" s="98">
        <v>0</v>
      </c>
      <c r="AC119" s="102">
        <v>0</v>
      </c>
    </row>
    <row r="120" spans="1:29" s="58" customFormat="1" ht="18" customHeight="1" x14ac:dyDescent="0.2">
      <c r="A120" s="67" t="s">
        <v>616</v>
      </c>
      <c r="B120" s="67" t="s">
        <v>1369</v>
      </c>
      <c r="C120" s="61" t="s">
        <v>1355</v>
      </c>
      <c r="D120" s="62" t="s">
        <v>609</v>
      </c>
      <c r="E120" s="61" t="s">
        <v>615</v>
      </c>
      <c r="F120" s="62" t="s">
        <v>1302</v>
      </c>
      <c r="G120" s="62" t="s">
        <v>328</v>
      </c>
      <c r="H120" s="67" t="s">
        <v>1234</v>
      </c>
      <c r="I120" s="62"/>
      <c r="J120" s="70"/>
      <c r="K120" s="70"/>
      <c r="L120" s="62"/>
      <c r="M120" s="62"/>
      <c r="N120" s="62"/>
      <c r="O120" s="64"/>
      <c r="P120" s="62"/>
      <c r="Q120" s="71" t="s">
        <v>836</v>
      </c>
      <c r="R120" s="71"/>
      <c r="S120" s="71"/>
      <c r="T120" s="71"/>
      <c r="U120" s="74"/>
      <c r="V120" s="74"/>
      <c r="W120" s="65"/>
      <c r="X120" s="89">
        <v>72</v>
      </c>
      <c r="Y120" s="66">
        <v>51</v>
      </c>
      <c r="Z120" s="66">
        <v>21</v>
      </c>
      <c r="AA120" s="93">
        <v>0.70833333333333337</v>
      </c>
      <c r="AB120" s="98">
        <v>1787280</v>
      </c>
      <c r="AC120" s="102">
        <v>41.4</v>
      </c>
    </row>
    <row r="121" spans="1:29" s="58" customFormat="1" ht="18" customHeight="1" x14ac:dyDescent="0.2">
      <c r="A121" s="67" t="s">
        <v>669</v>
      </c>
      <c r="B121" s="67">
        <v>766518486</v>
      </c>
      <c r="C121" s="61" t="s">
        <v>670</v>
      </c>
      <c r="D121" s="62" t="s">
        <v>674</v>
      </c>
      <c r="E121" s="63" t="s">
        <v>675</v>
      </c>
      <c r="F121" s="62">
        <v>944671383</v>
      </c>
      <c r="G121" s="62" t="s">
        <v>328</v>
      </c>
      <c r="H121" s="77" t="s">
        <v>671</v>
      </c>
      <c r="I121" s="64"/>
      <c r="J121" s="62" t="s">
        <v>672</v>
      </c>
      <c r="K121" s="62" t="s">
        <v>1113</v>
      </c>
      <c r="L121" s="62">
        <v>3</v>
      </c>
      <c r="M121" s="62"/>
      <c r="N121" s="62" t="s">
        <v>351</v>
      </c>
      <c r="O121" s="64"/>
      <c r="P121" s="75">
        <v>7.0000000000000007E-2</v>
      </c>
      <c r="Q121" s="62" t="s">
        <v>836</v>
      </c>
      <c r="R121" s="62">
        <v>944671383</v>
      </c>
      <c r="S121" s="62" t="s">
        <v>344</v>
      </c>
      <c r="T121" s="62" t="s">
        <v>673</v>
      </c>
      <c r="U121" s="67" t="s">
        <v>674</v>
      </c>
      <c r="V121" s="67"/>
      <c r="W121" s="65"/>
      <c r="X121" s="89">
        <v>945</v>
      </c>
      <c r="Y121" s="66">
        <v>877</v>
      </c>
      <c r="Z121" s="66">
        <v>68</v>
      </c>
      <c r="AA121" s="93">
        <v>0.928042328042328</v>
      </c>
      <c r="AB121" s="98">
        <v>23377550</v>
      </c>
      <c r="AC121" s="102">
        <v>816.49999999999989</v>
      </c>
    </row>
    <row r="122" spans="1:29" s="58" customFormat="1" ht="18" customHeight="1" x14ac:dyDescent="0.2">
      <c r="A122" s="85" t="s">
        <v>639</v>
      </c>
      <c r="B122" s="85">
        <v>114195928</v>
      </c>
      <c r="C122" s="72" t="s">
        <v>1356</v>
      </c>
      <c r="D122" s="62" t="s">
        <v>337</v>
      </c>
      <c r="E122" s="63" t="s">
        <v>254</v>
      </c>
      <c r="F122" s="62" t="s">
        <v>1303</v>
      </c>
      <c r="G122" s="62" t="s">
        <v>328</v>
      </c>
      <c r="H122" s="67" t="s">
        <v>255</v>
      </c>
      <c r="I122" s="64"/>
      <c r="J122" s="62" t="s">
        <v>332</v>
      </c>
      <c r="K122" s="62" t="s">
        <v>1036</v>
      </c>
      <c r="L122" s="62">
        <v>2</v>
      </c>
      <c r="M122" s="62">
        <v>0</v>
      </c>
      <c r="N122" s="62" t="s">
        <v>336</v>
      </c>
      <c r="O122" s="64"/>
      <c r="P122" s="62"/>
      <c r="Q122" s="71" t="s">
        <v>836</v>
      </c>
      <c r="R122" s="62"/>
      <c r="S122" s="62" t="s">
        <v>112</v>
      </c>
      <c r="T122" s="62"/>
      <c r="U122" s="67" t="s">
        <v>337</v>
      </c>
      <c r="V122" s="67" t="s">
        <v>335</v>
      </c>
      <c r="W122" s="65"/>
      <c r="X122" s="89">
        <v>0</v>
      </c>
      <c r="Y122" s="66">
        <v>0</v>
      </c>
      <c r="Z122" s="66">
        <v>0</v>
      </c>
      <c r="AA122" s="93">
        <v>0</v>
      </c>
      <c r="AB122" s="98">
        <v>0</v>
      </c>
      <c r="AC122" s="102">
        <v>0</v>
      </c>
    </row>
    <row r="123" spans="1:29" s="58" customFormat="1" ht="18" customHeight="1" x14ac:dyDescent="0.2">
      <c r="A123" s="85" t="s">
        <v>638</v>
      </c>
      <c r="B123" s="85">
        <v>99978112</v>
      </c>
      <c r="C123" s="72" t="s">
        <v>1357</v>
      </c>
      <c r="D123" s="62" t="s">
        <v>610</v>
      </c>
      <c r="E123" s="63"/>
      <c r="F123" s="62"/>
      <c r="G123" s="62" t="s">
        <v>328</v>
      </c>
      <c r="H123" s="67"/>
      <c r="I123" s="64"/>
      <c r="J123" s="62"/>
      <c r="K123" s="62"/>
      <c r="L123" s="62"/>
      <c r="M123" s="62"/>
      <c r="N123" s="62"/>
      <c r="O123" s="64"/>
      <c r="P123" s="62"/>
      <c r="Q123" s="71" t="s">
        <v>836</v>
      </c>
      <c r="R123" s="62"/>
      <c r="S123" s="62"/>
      <c r="T123" s="62"/>
      <c r="U123" s="67"/>
      <c r="V123" s="67"/>
      <c r="W123" s="65"/>
      <c r="X123" s="89">
        <v>0</v>
      </c>
      <c r="Y123" s="66">
        <v>0</v>
      </c>
      <c r="Z123" s="66">
        <v>0</v>
      </c>
      <c r="AA123" s="93">
        <v>0</v>
      </c>
      <c r="AB123" s="98">
        <v>0</v>
      </c>
      <c r="AC123" s="102">
        <v>0</v>
      </c>
    </row>
    <row r="124" spans="1:29" s="58" customFormat="1" ht="18" customHeight="1" x14ac:dyDescent="0.2">
      <c r="A124" s="85" t="s">
        <v>683</v>
      </c>
      <c r="B124" s="85">
        <v>771017215</v>
      </c>
      <c r="C124" s="72" t="s">
        <v>684</v>
      </c>
      <c r="D124" s="62" t="s">
        <v>325</v>
      </c>
      <c r="E124" s="63" t="s">
        <v>800</v>
      </c>
      <c r="F124" s="62"/>
      <c r="G124" s="62" t="s">
        <v>328</v>
      </c>
      <c r="H124" s="67" t="s">
        <v>801</v>
      </c>
      <c r="I124" s="64"/>
      <c r="J124" s="62"/>
      <c r="K124" s="62"/>
      <c r="L124" s="62">
        <v>3</v>
      </c>
      <c r="M124" s="62"/>
      <c r="N124" s="62" t="s">
        <v>351</v>
      </c>
      <c r="O124" s="64"/>
      <c r="P124" s="62"/>
      <c r="Q124" s="71" t="s">
        <v>815</v>
      </c>
      <c r="R124" s="62"/>
      <c r="S124" s="62"/>
      <c r="T124" s="62"/>
      <c r="U124" s="67"/>
      <c r="V124" s="67"/>
      <c r="W124" s="65"/>
      <c r="X124" s="89">
        <v>219</v>
      </c>
      <c r="Y124" s="66">
        <v>163</v>
      </c>
      <c r="Z124" s="66">
        <v>56</v>
      </c>
      <c r="AA124" s="93">
        <v>0.74429223744292239</v>
      </c>
      <c r="AB124" s="98">
        <v>5457810</v>
      </c>
      <c r="AC124" s="102">
        <v>415.15</v>
      </c>
    </row>
    <row r="125" spans="1:29" s="58" customFormat="1" ht="18" customHeight="1" x14ac:dyDescent="0.2">
      <c r="A125" s="85" t="s">
        <v>1379</v>
      </c>
      <c r="B125" s="85" t="s">
        <v>1373</v>
      </c>
      <c r="C125" s="72" t="s">
        <v>699</v>
      </c>
      <c r="D125" s="62" t="s">
        <v>423</v>
      </c>
      <c r="E125" s="63" t="s">
        <v>700</v>
      </c>
      <c r="F125" s="62" t="s">
        <v>701</v>
      </c>
      <c r="G125" s="62" t="s">
        <v>633</v>
      </c>
      <c r="H125" s="67" t="s">
        <v>702</v>
      </c>
      <c r="I125" s="64"/>
      <c r="J125" s="62" t="s">
        <v>703</v>
      </c>
      <c r="K125" s="62"/>
      <c r="L125" s="62">
        <v>3</v>
      </c>
      <c r="M125" s="62"/>
      <c r="N125" s="62" t="s">
        <v>412</v>
      </c>
      <c r="O125" s="64"/>
      <c r="P125" s="62"/>
      <c r="Q125" s="71" t="s">
        <v>363</v>
      </c>
      <c r="R125" s="62"/>
      <c r="S125" s="62"/>
      <c r="T125" s="62"/>
      <c r="U125" s="67"/>
      <c r="V125" s="67"/>
      <c r="W125" s="65"/>
      <c r="X125" s="89">
        <v>0</v>
      </c>
      <c r="Y125" s="66">
        <v>0</v>
      </c>
      <c r="Z125" s="66">
        <v>0</v>
      </c>
      <c r="AA125" s="93">
        <v>0</v>
      </c>
      <c r="AB125" s="98">
        <v>0</v>
      </c>
      <c r="AC125" s="102">
        <v>0</v>
      </c>
    </row>
    <row r="126" spans="1:29" s="58" customFormat="1" ht="18" customHeight="1" x14ac:dyDescent="0.2">
      <c r="A126" s="85" t="s">
        <v>706</v>
      </c>
      <c r="B126" s="85" t="s">
        <v>1371</v>
      </c>
      <c r="C126" s="72" t="s">
        <v>705</v>
      </c>
      <c r="D126" s="62" t="s">
        <v>409</v>
      </c>
      <c r="E126" s="63" t="s">
        <v>707</v>
      </c>
      <c r="F126" s="62" t="s">
        <v>708</v>
      </c>
      <c r="G126" s="62" t="s">
        <v>633</v>
      </c>
      <c r="H126" s="67" t="s">
        <v>709</v>
      </c>
      <c r="I126" s="64"/>
      <c r="J126" s="62"/>
      <c r="K126" s="62" t="s">
        <v>705</v>
      </c>
      <c r="L126" s="62">
        <v>3</v>
      </c>
      <c r="M126" s="62"/>
      <c r="N126" s="62" t="s">
        <v>412</v>
      </c>
      <c r="O126" s="64"/>
      <c r="P126" s="62"/>
      <c r="Q126" s="71" t="s">
        <v>363</v>
      </c>
      <c r="R126" s="62"/>
      <c r="S126" s="62"/>
      <c r="T126" s="62"/>
      <c r="U126" s="67" t="s">
        <v>710</v>
      </c>
      <c r="V126" s="67"/>
      <c r="W126" s="65"/>
      <c r="X126" s="89">
        <v>36</v>
      </c>
      <c r="Y126" s="66">
        <v>28</v>
      </c>
      <c r="Z126" s="66">
        <v>8</v>
      </c>
      <c r="AA126" s="93">
        <v>0.77777777777777779</v>
      </c>
      <c r="AB126" s="98">
        <v>884640</v>
      </c>
      <c r="AC126" s="102">
        <v>74.75</v>
      </c>
    </row>
    <row r="127" spans="1:29" s="58" customFormat="1" ht="18" customHeight="1" x14ac:dyDescent="0.2">
      <c r="A127" s="85" t="s">
        <v>712</v>
      </c>
      <c r="B127" s="85" t="s">
        <v>1374</v>
      </c>
      <c r="C127" s="72" t="s">
        <v>711</v>
      </c>
      <c r="D127" s="62" t="s">
        <v>714</v>
      </c>
      <c r="E127" s="63" t="s">
        <v>713</v>
      </c>
      <c r="F127" s="62">
        <v>672411298</v>
      </c>
      <c r="G127" s="62" t="s">
        <v>633</v>
      </c>
      <c r="H127" s="67" t="s">
        <v>715</v>
      </c>
      <c r="I127" s="64"/>
      <c r="J127" s="62" t="s">
        <v>716</v>
      </c>
      <c r="K127" s="62"/>
      <c r="L127" s="62">
        <v>1</v>
      </c>
      <c r="M127" s="62"/>
      <c r="N127" s="62" t="s">
        <v>412</v>
      </c>
      <c r="O127" s="64"/>
      <c r="P127" s="62"/>
      <c r="Q127" s="71" t="s">
        <v>363</v>
      </c>
      <c r="R127" s="62">
        <v>977669861</v>
      </c>
      <c r="S127" s="62"/>
      <c r="T127" s="62" t="s">
        <v>717</v>
      </c>
      <c r="U127" s="67" t="s">
        <v>714</v>
      </c>
      <c r="V127" s="67"/>
      <c r="W127" s="65"/>
      <c r="X127" s="89">
        <v>0</v>
      </c>
      <c r="Y127" s="66">
        <v>0</v>
      </c>
      <c r="Z127" s="66">
        <v>0</v>
      </c>
      <c r="AA127" s="93">
        <v>0</v>
      </c>
      <c r="AB127" s="98">
        <v>0</v>
      </c>
      <c r="AC127" s="102">
        <v>0</v>
      </c>
    </row>
    <row r="128" spans="1:29" s="58" customFormat="1" ht="18" customHeight="1" x14ac:dyDescent="0.2">
      <c r="A128" s="85" t="s">
        <v>719</v>
      </c>
      <c r="B128" s="85" t="s">
        <v>1375</v>
      </c>
      <c r="C128" s="72" t="s">
        <v>718</v>
      </c>
      <c r="D128" s="62" t="s">
        <v>721</v>
      </c>
      <c r="E128" s="63" t="s">
        <v>722</v>
      </c>
      <c r="F128" s="62">
        <v>652671443</v>
      </c>
      <c r="G128" s="62" t="s">
        <v>633</v>
      </c>
      <c r="H128" s="67" t="s">
        <v>720</v>
      </c>
      <c r="I128" s="64"/>
      <c r="J128" s="62"/>
      <c r="K128" s="62"/>
      <c r="L128" s="62">
        <v>3</v>
      </c>
      <c r="M128" s="62"/>
      <c r="N128" s="62" t="s">
        <v>118</v>
      </c>
      <c r="O128" s="64"/>
      <c r="P128" s="62"/>
      <c r="Q128" s="71" t="s">
        <v>363</v>
      </c>
      <c r="R128" s="62"/>
      <c r="S128" s="62"/>
      <c r="T128" s="62"/>
      <c r="U128" s="67"/>
      <c r="V128" s="67" t="s">
        <v>723</v>
      </c>
      <c r="W128" s="65"/>
      <c r="X128" s="89">
        <v>0</v>
      </c>
      <c r="Y128" s="66">
        <v>0</v>
      </c>
      <c r="Z128" s="66">
        <v>0</v>
      </c>
      <c r="AA128" s="93">
        <v>0</v>
      </c>
      <c r="AB128" s="98">
        <v>0</v>
      </c>
      <c r="AC128" s="102">
        <v>0</v>
      </c>
    </row>
    <row r="129" spans="1:29" s="58" customFormat="1" ht="18" customHeight="1" x14ac:dyDescent="0.2">
      <c r="A129" s="85" t="s">
        <v>730</v>
      </c>
      <c r="B129" s="85">
        <v>162603744</v>
      </c>
      <c r="C129" s="72" t="s">
        <v>728</v>
      </c>
      <c r="D129" s="62" t="s">
        <v>729</v>
      </c>
      <c r="E129" s="63" t="s">
        <v>731</v>
      </c>
      <c r="F129" s="62">
        <v>953278601</v>
      </c>
      <c r="G129" s="62" t="s">
        <v>286</v>
      </c>
      <c r="H129" s="67" t="s">
        <v>1235</v>
      </c>
      <c r="I129" s="64"/>
      <c r="J129" s="62"/>
      <c r="K129" s="62"/>
      <c r="L129" s="62"/>
      <c r="M129" s="62"/>
      <c r="N129" s="62" t="s">
        <v>732</v>
      </c>
      <c r="O129" s="64"/>
      <c r="P129" s="62"/>
      <c r="Q129" s="71" t="s">
        <v>363</v>
      </c>
      <c r="R129" s="62"/>
      <c r="S129" s="62"/>
      <c r="T129" s="62"/>
      <c r="U129" s="67"/>
      <c r="V129" s="67"/>
      <c r="W129" s="65"/>
      <c r="X129" s="89">
        <v>516</v>
      </c>
      <c r="Y129" s="66">
        <v>378</v>
      </c>
      <c r="Z129" s="66">
        <v>138</v>
      </c>
      <c r="AA129" s="93">
        <v>0.73255813953488369</v>
      </c>
      <c r="AB129" s="98">
        <v>12711840</v>
      </c>
      <c r="AC129" s="102">
        <v>468.04999999999995</v>
      </c>
    </row>
    <row r="130" spans="1:29" s="58" customFormat="1" ht="18" customHeight="1" x14ac:dyDescent="0.2">
      <c r="A130" s="85" t="s">
        <v>913</v>
      </c>
      <c r="B130" s="85">
        <v>173312032</v>
      </c>
      <c r="C130" s="72" t="s">
        <v>823</v>
      </c>
      <c r="D130" s="62" t="s">
        <v>533</v>
      </c>
      <c r="E130" s="63" t="s">
        <v>734</v>
      </c>
      <c r="F130" s="62">
        <v>512751119</v>
      </c>
      <c r="G130" s="62" t="s">
        <v>286</v>
      </c>
      <c r="H130" s="67" t="s">
        <v>735</v>
      </c>
      <c r="I130" s="64"/>
      <c r="J130" s="62"/>
      <c r="K130" s="62"/>
      <c r="L130" s="62"/>
      <c r="M130" s="62"/>
      <c r="N130" s="62" t="s">
        <v>546</v>
      </c>
      <c r="O130" s="64"/>
      <c r="P130" s="62"/>
      <c r="Q130" s="71" t="s">
        <v>363</v>
      </c>
      <c r="R130" s="62"/>
      <c r="S130" s="62"/>
      <c r="T130" s="62"/>
      <c r="U130" s="67"/>
      <c r="V130" s="67"/>
      <c r="W130" s="65"/>
      <c r="X130" s="89">
        <v>282</v>
      </c>
      <c r="Y130" s="66">
        <v>134</v>
      </c>
      <c r="Z130" s="66">
        <v>148</v>
      </c>
      <c r="AA130" s="93">
        <v>0.47517730496453903</v>
      </c>
      <c r="AB130" s="98">
        <v>6962180</v>
      </c>
      <c r="AC130" s="102">
        <v>162.14999999999998</v>
      </c>
    </row>
    <row r="131" spans="1:29" s="58" customFormat="1" ht="18" customHeight="1" x14ac:dyDescent="0.2">
      <c r="A131" s="85" t="s">
        <v>739</v>
      </c>
      <c r="B131" s="85" t="s">
        <v>1370</v>
      </c>
      <c r="C131" s="72" t="s">
        <v>736</v>
      </c>
      <c r="D131" s="62" t="s">
        <v>738</v>
      </c>
      <c r="E131" s="63" t="s">
        <v>737</v>
      </c>
      <c r="F131" s="62">
        <v>958508878</v>
      </c>
      <c r="G131" s="62" t="s">
        <v>286</v>
      </c>
      <c r="H131" s="67" t="s">
        <v>740</v>
      </c>
      <c r="I131" s="64"/>
      <c r="J131" s="62" t="s">
        <v>895</v>
      </c>
      <c r="K131" s="62"/>
      <c r="L131" s="62">
        <v>1</v>
      </c>
      <c r="M131" s="62"/>
      <c r="N131" s="62" t="s">
        <v>741</v>
      </c>
      <c r="O131" s="64"/>
      <c r="P131" s="62"/>
      <c r="Q131" s="71" t="s">
        <v>363</v>
      </c>
      <c r="R131" s="62"/>
      <c r="S131" s="62" t="s">
        <v>896</v>
      </c>
      <c r="T131" s="62" t="s">
        <v>897</v>
      </c>
      <c r="U131" s="67"/>
      <c r="V131" s="67"/>
      <c r="W131" s="65"/>
      <c r="X131" s="89">
        <v>75</v>
      </c>
      <c r="Y131" s="66">
        <v>45</v>
      </c>
      <c r="Z131" s="66">
        <v>30</v>
      </c>
      <c r="AA131" s="93">
        <v>0.6</v>
      </c>
      <c r="AB131" s="98">
        <v>1840250</v>
      </c>
      <c r="AC131" s="102">
        <v>125.35</v>
      </c>
    </row>
    <row r="132" spans="1:29" s="58" customFormat="1" ht="18" customHeight="1" x14ac:dyDescent="0.2">
      <c r="A132" s="85" t="s">
        <v>743</v>
      </c>
      <c r="B132" s="85">
        <v>162593110</v>
      </c>
      <c r="C132" s="72" t="s">
        <v>742</v>
      </c>
      <c r="D132" s="62" t="s">
        <v>729</v>
      </c>
      <c r="E132" s="63" t="s">
        <v>744</v>
      </c>
      <c r="F132" s="62">
        <v>942213276</v>
      </c>
      <c r="G132" s="62" t="s">
        <v>286</v>
      </c>
      <c r="H132" s="67" t="s">
        <v>745</v>
      </c>
      <c r="I132" s="64"/>
      <c r="J132" s="62"/>
      <c r="K132" s="62"/>
      <c r="L132" s="62"/>
      <c r="M132" s="62"/>
      <c r="N132" s="62" t="s">
        <v>732</v>
      </c>
      <c r="O132" s="64"/>
      <c r="P132" s="62"/>
      <c r="Q132" s="71" t="s">
        <v>363</v>
      </c>
      <c r="R132" s="62"/>
      <c r="S132" s="62"/>
      <c r="T132" s="62"/>
      <c r="U132" s="67"/>
      <c r="V132" s="67"/>
      <c r="W132" s="65"/>
      <c r="X132" s="89">
        <v>300</v>
      </c>
      <c r="Y132" s="66">
        <v>62</v>
      </c>
      <c r="Z132" s="66">
        <v>238</v>
      </c>
      <c r="AA132" s="93">
        <v>0.20666666666666667</v>
      </c>
      <c r="AB132" s="98">
        <v>7417000</v>
      </c>
      <c r="AC132" s="102">
        <v>345</v>
      </c>
    </row>
    <row r="133" spans="1:29" s="58" customFormat="1" ht="18" customHeight="1" x14ac:dyDescent="0.2">
      <c r="A133" s="85" t="s">
        <v>747</v>
      </c>
      <c r="B133" s="85">
        <v>60921830</v>
      </c>
      <c r="C133" s="72" t="s">
        <v>746</v>
      </c>
      <c r="D133" s="62" t="s">
        <v>748</v>
      </c>
      <c r="E133" s="63" t="s">
        <v>749</v>
      </c>
      <c r="F133" s="62" t="s">
        <v>1304</v>
      </c>
      <c r="G133" s="62" t="s">
        <v>286</v>
      </c>
      <c r="H133" s="67" t="s">
        <v>1236</v>
      </c>
      <c r="I133" s="64"/>
      <c r="J133" s="62" t="s">
        <v>750</v>
      </c>
      <c r="K133" s="62" t="s">
        <v>920</v>
      </c>
      <c r="L133" s="62"/>
      <c r="M133" s="62"/>
      <c r="N133" s="62" t="s">
        <v>854</v>
      </c>
      <c r="O133" s="64"/>
      <c r="P133" s="62"/>
      <c r="Q133" s="71" t="s">
        <v>363</v>
      </c>
      <c r="R133" s="62"/>
      <c r="S133" s="62"/>
      <c r="T133" s="62" t="s">
        <v>931</v>
      </c>
      <c r="U133" s="67"/>
      <c r="V133" s="67"/>
      <c r="W133" s="65"/>
      <c r="X133" s="89">
        <v>54</v>
      </c>
      <c r="Y133" s="66">
        <v>25</v>
      </c>
      <c r="Z133" s="66">
        <v>29</v>
      </c>
      <c r="AA133" s="93">
        <v>0.46296296296296297</v>
      </c>
      <c r="AB133" s="98">
        <v>1332460</v>
      </c>
      <c r="AC133" s="102">
        <v>35.65</v>
      </c>
    </row>
    <row r="134" spans="1:29" s="58" customFormat="1" ht="18" customHeight="1" x14ac:dyDescent="0.2">
      <c r="A134" s="85" t="s">
        <v>1031</v>
      </c>
      <c r="B134" s="85">
        <v>767756089</v>
      </c>
      <c r="C134" s="72" t="s">
        <v>751</v>
      </c>
      <c r="D134" s="62" t="s">
        <v>738</v>
      </c>
      <c r="E134" s="63" t="s">
        <v>752</v>
      </c>
      <c r="F134" s="62" t="s">
        <v>928</v>
      </c>
      <c r="G134" s="62" t="s">
        <v>286</v>
      </c>
      <c r="H134" s="67" t="s">
        <v>753</v>
      </c>
      <c r="I134" s="64"/>
      <c r="J134" s="62"/>
      <c r="K134" s="62"/>
      <c r="L134" s="62"/>
      <c r="M134" s="62"/>
      <c r="N134" s="62" t="s">
        <v>741</v>
      </c>
      <c r="O134" s="64"/>
      <c r="P134" s="62"/>
      <c r="Q134" s="71" t="s">
        <v>363</v>
      </c>
      <c r="R134" s="62"/>
      <c r="S134" s="62"/>
      <c r="T134" s="62"/>
      <c r="U134" s="67"/>
      <c r="V134" s="67"/>
      <c r="W134" s="65"/>
      <c r="X134" s="89">
        <v>88</v>
      </c>
      <c r="Y134" s="66">
        <v>67</v>
      </c>
      <c r="Z134" s="66">
        <v>21</v>
      </c>
      <c r="AA134" s="93">
        <v>0.76136363636363635</v>
      </c>
      <c r="AB134" s="98">
        <v>2228120</v>
      </c>
      <c r="AC134" s="102">
        <v>101.19999999999999</v>
      </c>
    </row>
    <row r="135" spans="1:29" s="58" customFormat="1" ht="18" customHeight="1" x14ac:dyDescent="0.2">
      <c r="A135" s="85" t="s">
        <v>754</v>
      </c>
      <c r="B135" s="85">
        <v>765602424</v>
      </c>
      <c r="C135" s="72" t="s">
        <v>1358</v>
      </c>
      <c r="D135" s="62" t="s">
        <v>586</v>
      </c>
      <c r="E135" s="63" t="s">
        <v>755</v>
      </c>
      <c r="F135" s="62">
        <v>981379473</v>
      </c>
      <c r="G135" s="62" t="s">
        <v>286</v>
      </c>
      <c r="H135" s="67" t="s">
        <v>756</v>
      </c>
      <c r="I135" s="64"/>
      <c r="J135" s="62" t="s">
        <v>929</v>
      </c>
      <c r="K135" s="62" t="s">
        <v>366</v>
      </c>
      <c r="L135" s="62"/>
      <c r="M135" s="62"/>
      <c r="N135" s="62" t="s">
        <v>741</v>
      </c>
      <c r="O135" s="64"/>
      <c r="P135" s="62"/>
      <c r="Q135" s="71" t="s">
        <v>363</v>
      </c>
      <c r="R135" s="62"/>
      <c r="S135" s="62"/>
      <c r="T135" s="62" t="s">
        <v>930</v>
      </c>
      <c r="U135" s="67"/>
      <c r="V135" s="67"/>
      <c r="W135" s="65"/>
      <c r="X135" s="89">
        <v>0</v>
      </c>
      <c r="Y135" s="66">
        <v>0</v>
      </c>
      <c r="Z135" s="66">
        <v>0</v>
      </c>
      <c r="AA135" s="93">
        <v>0</v>
      </c>
      <c r="AB135" s="98">
        <v>0</v>
      </c>
      <c r="AC135" s="102">
        <v>0</v>
      </c>
    </row>
    <row r="136" spans="1:29" s="58" customFormat="1" ht="18" customHeight="1" x14ac:dyDescent="0.2">
      <c r="A136" s="85" t="s">
        <v>760</v>
      </c>
      <c r="B136" s="85">
        <v>32977855</v>
      </c>
      <c r="C136" s="72" t="s">
        <v>759</v>
      </c>
      <c r="D136" s="62" t="s">
        <v>533</v>
      </c>
      <c r="E136" s="63" t="s">
        <v>761</v>
      </c>
      <c r="F136" s="62" t="s">
        <v>762</v>
      </c>
      <c r="G136" s="62" t="s">
        <v>286</v>
      </c>
      <c r="H136" s="67" t="s">
        <v>1237</v>
      </c>
      <c r="I136" s="64"/>
      <c r="J136" s="62" t="s">
        <v>926</v>
      </c>
      <c r="K136" s="62"/>
      <c r="L136" s="62"/>
      <c r="M136" s="62"/>
      <c r="N136" s="62" t="s">
        <v>763</v>
      </c>
      <c r="O136" s="64"/>
      <c r="P136" s="62"/>
      <c r="Q136" s="71" t="s">
        <v>836</v>
      </c>
      <c r="R136" s="62"/>
      <c r="S136" s="62"/>
      <c r="T136" s="62"/>
      <c r="U136" s="67" t="s">
        <v>533</v>
      </c>
      <c r="V136" s="67" t="s">
        <v>927</v>
      </c>
      <c r="W136" s="65"/>
      <c r="X136" s="89">
        <v>0</v>
      </c>
      <c r="Y136" s="66">
        <v>0</v>
      </c>
      <c r="Z136" s="66">
        <v>0</v>
      </c>
      <c r="AA136" s="93">
        <v>0</v>
      </c>
      <c r="AB136" s="98">
        <v>0</v>
      </c>
      <c r="AC136" s="102">
        <v>0</v>
      </c>
    </row>
    <row r="137" spans="1:29" s="58" customFormat="1" ht="18" customHeight="1" x14ac:dyDescent="0.2">
      <c r="A137" s="85" t="s">
        <v>765</v>
      </c>
      <c r="B137" s="85">
        <v>165495861</v>
      </c>
      <c r="C137" s="72" t="s">
        <v>764</v>
      </c>
      <c r="D137" s="62" t="s">
        <v>586</v>
      </c>
      <c r="E137" s="63" t="s">
        <v>766</v>
      </c>
      <c r="F137" s="62">
        <v>953509920</v>
      </c>
      <c r="G137" s="62" t="s">
        <v>286</v>
      </c>
      <c r="H137" s="67" t="s">
        <v>767</v>
      </c>
      <c r="I137" s="64"/>
      <c r="J137" s="62"/>
      <c r="K137" s="62"/>
      <c r="L137" s="62"/>
      <c r="M137" s="62"/>
      <c r="N137" s="62" t="s">
        <v>741</v>
      </c>
      <c r="O137" s="64"/>
      <c r="P137" s="62"/>
      <c r="Q137" s="71" t="s">
        <v>844</v>
      </c>
      <c r="R137" s="62"/>
      <c r="S137" s="62"/>
      <c r="T137" s="62"/>
      <c r="U137" s="67" t="s">
        <v>586</v>
      </c>
      <c r="V137" s="67"/>
      <c r="W137" s="65"/>
      <c r="X137" s="89">
        <v>0</v>
      </c>
      <c r="Y137" s="66">
        <v>0</v>
      </c>
      <c r="Z137" s="66">
        <v>0</v>
      </c>
      <c r="AA137" s="93">
        <v>0</v>
      </c>
      <c r="AB137" s="98">
        <v>0</v>
      </c>
      <c r="AC137" s="102">
        <v>0</v>
      </c>
    </row>
    <row r="138" spans="1:29" s="58" customFormat="1" ht="18" customHeight="1" x14ac:dyDescent="0.2">
      <c r="A138" s="85" t="s">
        <v>769</v>
      </c>
      <c r="B138" s="85">
        <v>137440369</v>
      </c>
      <c r="C138" s="72" t="s">
        <v>768</v>
      </c>
      <c r="D138" s="62" t="s">
        <v>533</v>
      </c>
      <c r="E138" s="63" t="s">
        <v>770</v>
      </c>
      <c r="F138" s="62">
        <v>957891348</v>
      </c>
      <c r="G138" s="62" t="s">
        <v>286</v>
      </c>
      <c r="H138" s="67" t="s">
        <v>771</v>
      </c>
      <c r="I138" s="64"/>
      <c r="J138" s="62"/>
      <c r="K138" s="62"/>
      <c r="L138" s="62"/>
      <c r="M138" s="62"/>
      <c r="N138" s="62" t="s">
        <v>763</v>
      </c>
      <c r="O138" s="64"/>
      <c r="P138" s="62"/>
      <c r="Q138" s="71" t="s">
        <v>836</v>
      </c>
      <c r="R138" s="62"/>
      <c r="S138" s="62"/>
      <c r="T138" s="62"/>
      <c r="U138" s="67" t="s">
        <v>533</v>
      </c>
      <c r="V138" s="67"/>
      <c r="W138" s="65"/>
      <c r="X138" s="89">
        <v>360</v>
      </c>
      <c r="Y138" s="66">
        <v>199</v>
      </c>
      <c r="Z138" s="66">
        <v>161</v>
      </c>
      <c r="AA138" s="93">
        <v>0.55277777777777781</v>
      </c>
      <c r="AB138" s="98">
        <v>9032400</v>
      </c>
      <c r="AC138" s="102">
        <v>276</v>
      </c>
    </row>
    <row r="139" spans="1:29" s="58" customFormat="1" ht="18" customHeight="1" x14ac:dyDescent="0.2">
      <c r="A139" s="85" t="s">
        <v>777</v>
      </c>
      <c r="B139" s="85">
        <v>176252960</v>
      </c>
      <c r="C139" s="72" t="s">
        <v>773</v>
      </c>
      <c r="D139" s="62" t="s">
        <v>738</v>
      </c>
      <c r="E139" s="63" t="s">
        <v>776</v>
      </c>
      <c r="F139" s="62">
        <v>975857893</v>
      </c>
      <c r="G139" s="62" t="s">
        <v>286</v>
      </c>
      <c r="H139" s="67" t="s">
        <v>772</v>
      </c>
      <c r="I139" s="64"/>
      <c r="J139" s="62" t="s">
        <v>924</v>
      </c>
      <c r="K139" s="62"/>
      <c r="L139" s="62"/>
      <c r="M139" s="62"/>
      <c r="N139" s="62" t="s">
        <v>741</v>
      </c>
      <c r="O139" s="64"/>
      <c r="P139" s="62"/>
      <c r="Q139" s="71" t="s">
        <v>690</v>
      </c>
      <c r="R139" s="62"/>
      <c r="S139" s="62"/>
      <c r="T139" s="62"/>
      <c r="U139" s="67" t="s">
        <v>738</v>
      </c>
      <c r="V139" s="67"/>
      <c r="W139" s="65"/>
      <c r="X139" s="89">
        <v>0</v>
      </c>
      <c r="Y139" s="66">
        <v>0</v>
      </c>
      <c r="Z139" s="66">
        <v>0</v>
      </c>
      <c r="AA139" s="93">
        <v>0</v>
      </c>
      <c r="AB139" s="98">
        <v>0</v>
      </c>
      <c r="AC139" s="102">
        <v>0</v>
      </c>
    </row>
    <row r="140" spans="1:29" s="58" customFormat="1" ht="18" customHeight="1" x14ac:dyDescent="0.2">
      <c r="A140" s="85" t="s">
        <v>922</v>
      </c>
      <c r="B140" s="85">
        <v>186889428</v>
      </c>
      <c r="C140" s="72" t="s">
        <v>774</v>
      </c>
      <c r="D140" s="62" t="s">
        <v>586</v>
      </c>
      <c r="E140" s="63" t="s">
        <v>778</v>
      </c>
      <c r="F140" s="62">
        <v>941121845</v>
      </c>
      <c r="G140" s="62" t="s">
        <v>286</v>
      </c>
      <c r="H140" s="67" t="s">
        <v>775</v>
      </c>
      <c r="I140" s="64"/>
      <c r="J140" s="62" t="s">
        <v>923</v>
      </c>
      <c r="K140" s="62" t="s">
        <v>366</v>
      </c>
      <c r="L140" s="62"/>
      <c r="M140" s="62"/>
      <c r="N140" s="62" t="s">
        <v>741</v>
      </c>
      <c r="O140" s="64"/>
      <c r="P140" s="62"/>
      <c r="Q140" s="71" t="s">
        <v>690</v>
      </c>
      <c r="R140" s="62"/>
      <c r="S140" s="62"/>
      <c r="T140" s="62"/>
      <c r="U140" s="67" t="s">
        <v>586</v>
      </c>
      <c r="V140" s="67"/>
      <c r="W140" s="65"/>
      <c r="X140" s="89">
        <v>0</v>
      </c>
      <c r="Y140" s="66">
        <v>0</v>
      </c>
      <c r="Z140" s="66">
        <v>0</v>
      </c>
      <c r="AA140" s="93">
        <v>0</v>
      </c>
      <c r="AB140" s="98">
        <v>0</v>
      </c>
      <c r="AC140" s="102">
        <v>0</v>
      </c>
    </row>
    <row r="141" spans="1:29" s="58" customFormat="1" ht="18" customHeight="1" x14ac:dyDescent="0.2">
      <c r="A141" s="85" t="s">
        <v>782</v>
      </c>
      <c r="B141" s="85" t="s">
        <v>1372</v>
      </c>
      <c r="C141" s="72" t="s">
        <v>779</v>
      </c>
      <c r="D141" s="62" t="s">
        <v>1338</v>
      </c>
      <c r="E141" s="63" t="s">
        <v>781</v>
      </c>
      <c r="F141" s="62">
        <v>56944438018</v>
      </c>
      <c r="G141" s="62" t="s">
        <v>328</v>
      </c>
      <c r="H141" s="67" t="s">
        <v>780</v>
      </c>
      <c r="I141" s="64"/>
      <c r="J141" s="62" t="s">
        <v>925</v>
      </c>
      <c r="K141" s="62"/>
      <c r="L141" s="62">
        <v>1</v>
      </c>
      <c r="M141" s="62"/>
      <c r="N141" s="62" t="s">
        <v>546</v>
      </c>
      <c r="O141" s="64"/>
      <c r="P141" s="62"/>
      <c r="Q141" s="71" t="s">
        <v>690</v>
      </c>
      <c r="R141" s="62"/>
      <c r="S141" s="62" t="s">
        <v>898</v>
      </c>
      <c r="T141" s="62" t="s">
        <v>899</v>
      </c>
      <c r="U141" s="67" t="s">
        <v>533</v>
      </c>
      <c r="V141" s="67"/>
      <c r="W141" s="65"/>
      <c r="X141" s="89">
        <v>0</v>
      </c>
      <c r="Y141" s="66">
        <v>0</v>
      </c>
      <c r="Z141" s="66">
        <v>0</v>
      </c>
      <c r="AA141" s="93">
        <v>0</v>
      </c>
      <c r="AB141" s="98">
        <v>0</v>
      </c>
      <c r="AC141" s="102">
        <v>17.25</v>
      </c>
    </row>
    <row r="142" spans="1:29" s="58" customFormat="1" ht="18" customHeight="1" x14ac:dyDescent="0.2">
      <c r="A142" s="85" t="s">
        <v>783</v>
      </c>
      <c r="B142" s="85">
        <v>772090390</v>
      </c>
      <c r="C142" s="72" t="s">
        <v>786</v>
      </c>
      <c r="D142" s="62" t="s">
        <v>466</v>
      </c>
      <c r="E142" s="63" t="s">
        <v>784</v>
      </c>
      <c r="F142" s="62">
        <v>946397780</v>
      </c>
      <c r="G142" s="62" t="s">
        <v>328</v>
      </c>
      <c r="H142" s="67" t="s">
        <v>785</v>
      </c>
      <c r="I142" s="64" t="s">
        <v>921</v>
      </c>
      <c r="J142" s="62" t="s">
        <v>919</v>
      </c>
      <c r="K142" s="62" t="s">
        <v>920</v>
      </c>
      <c r="L142" s="62">
        <v>1</v>
      </c>
      <c r="M142" s="62"/>
      <c r="N142" s="62" t="s">
        <v>351</v>
      </c>
      <c r="O142" s="64"/>
      <c r="P142" s="62"/>
      <c r="Q142" s="71" t="s">
        <v>1766</v>
      </c>
      <c r="R142" s="62"/>
      <c r="S142" s="62"/>
      <c r="T142" s="62" t="s">
        <v>845</v>
      </c>
      <c r="U142" s="67"/>
      <c r="V142" s="67" t="s">
        <v>918</v>
      </c>
      <c r="W142" s="65"/>
      <c r="X142" s="89">
        <v>0</v>
      </c>
      <c r="Y142" s="66">
        <v>0</v>
      </c>
      <c r="Z142" s="66">
        <v>0</v>
      </c>
      <c r="AA142" s="93">
        <v>0</v>
      </c>
      <c r="AB142" s="98">
        <v>0</v>
      </c>
      <c r="AC142" s="102">
        <v>136.85</v>
      </c>
    </row>
    <row r="143" spans="1:29" s="58" customFormat="1" ht="18" customHeight="1" x14ac:dyDescent="0.2">
      <c r="A143" s="85" t="s">
        <v>788</v>
      </c>
      <c r="B143" s="85">
        <v>771418651</v>
      </c>
      <c r="C143" s="72" t="s">
        <v>787</v>
      </c>
      <c r="D143" s="62" t="s">
        <v>346</v>
      </c>
      <c r="E143" s="63" t="s">
        <v>789</v>
      </c>
      <c r="F143" s="62">
        <v>972771615</v>
      </c>
      <c r="G143" s="62" t="s">
        <v>328</v>
      </c>
      <c r="H143" s="67" t="s">
        <v>790</v>
      </c>
      <c r="I143" s="64"/>
      <c r="J143" s="62" t="s">
        <v>917</v>
      </c>
      <c r="K143" s="62"/>
      <c r="L143" s="62">
        <v>1</v>
      </c>
      <c r="M143" s="62"/>
      <c r="N143" s="62" t="s">
        <v>791</v>
      </c>
      <c r="O143" s="64"/>
      <c r="P143" s="62"/>
      <c r="Q143" s="71" t="s">
        <v>690</v>
      </c>
      <c r="R143" s="62"/>
      <c r="S143" s="62"/>
      <c r="T143" s="62" t="s">
        <v>846</v>
      </c>
      <c r="U143" s="67"/>
      <c r="V143" s="67"/>
      <c r="W143" s="65"/>
      <c r="X143" s="89">
        <v>132</v>
      </c>
      <c r="Y143" s="66">
        <v>44</v>
      </c>
      <c r="Z143" s="66">
        <v>88</v>
      </c>
      <c r="AA143" s="93">
        <v>0.33333333333333331</v>
      </c>
      <c r="AB143" s="98">
        <v>3221680</v>
      </c>
      <c r="AC143" s="102">
        <v>284.04999999999995</v>
      </c>
    </row>
    <row r="144" spans="1:29" s="58" customFormat="1" ht="18" customHeight="1" x14ac:dyDescent="0.2">
      <c r="A144" s="85" t="s">
        <v>807</v>
      </c>
      <c r="B144" s="85">
        <v>772477147</v>
      </c>
      <c r="C144" s="72" t="s">
        <v>806</v>
      </c>
      <c r="D144" s="62" t="s">
        <v>470</v>
      </c>
      <c r="E144" s="63" t="s">
        <v>808</v>
      </c>
      <c r="F144" s="62">
        <v>941616891</v>
      </c>
      <c r="G144" s="62" t="s">
        <v>328</v>
      </c>
      <c r="H144" s="67" t="s">
        <v>809</v>
      </c>
      <c r="I144" s="64" t="s">
        <v>916</v>
      </c>
      <c r="J144" s="62" t="s">
        <v>915</v>
      </c>
      <c r="K144" s="62" t="s">
        <v>366</v>
      </c>
      <c r="L144" s="62">
        <v>1</v>
      </c>
      <c r="M144" s="62"/>
      <c r="N144" s="62" t="s">
        <v>351</v>
      </c>
      <c r="O144" s="64"/>
      <c r="P144" s="62">
        <v>0.05</v>
      </c>
      <c r="Q144" s="71" t="s">
        <v>690</v>
      </c>
      <c r="R144" s="62"/>
      <c r="S144" s="62"/>
      <c r="T144" s="62" t="s">
        <v>673</v>
      </c>
      <c r="U144" s="67"/>
      <c r="V144" s="67"/>
      <c r="W144" s="65"/>
      <c r="X144" s="89">
        <v>0</v>
      </c>
      <c r="Y144" s="66">
        <v>0</v>
      </c>
      <c r="Z144" s="66">
        <v>0</v>
      </c>
      <c r="AA144" s="93">
        <v>0</v>
      </c>
      <c r="AB144" s="98">
        <v>0</v>
      </c>
      <c r="AC144" s="102">
        <v>0</v>
      </c>
    </row>
    <row r="145" spans="1:29" s="58" customFormat="1" ht="18" customHeight="1" x14ac:dyDescent="0.2">
      <c r="A145" s="85" t="s">
        <v>811</v>
      </c>
      <c r="B145" s="85">
        <v>764058496</v>
      </c>
      <c r="C145" s="72" t="s">
        <v>810</v>
      </c>
      <c r="D145" s="62" t="s">
        <v>481</v>
      </c>
      <c r="E145" s="63" t="s">
        <v>812</v>
      </c>
      <c r="F145" s="62">
        <v>991615738</v>
      </c>
      <c r="G145" s="62" t="s">
        <v>328</v>
      </c>
      <c r="H145" s="67" t="s">
        <v>814</v>
      </c>
      <c r="I145" s="64"/>
      <c r="J145" s="62"/>
      <c r="K145" s="62"/>
      <c r="L145" s="62">
        <v>3</v>
      </c>
      <c r="M145" s="62"/>
      <c r="N145" s="62" t="s">
        <v>121</v>
      </c>
      <c r="O145" s="64"/>
      <c r="P145" s="62"/>
      <c r="Q145" s="71" t="s">
        <v>815</v>
      </c>
      <c r="R145" s="62"/>
      <c r="S145" s="62"/>
      <c r="T145" s="62" t="s">
        <v>813</v>
      </c>
      <c r="U145" s="67"/>
      <c r="V145" s="67"/>
      <c r="W145" s="65"/>
      <c r="X145" s="89">
        <v>96</v>
      </c>
      <c r="Y145" s="66">
        <v>72</v>
      </c>
      <c r="Z145" s="66">
        <v>24</v>
      </c>
      <c r="AA145" s="93">
        <v>0.75</v>
      </c>
      <c r="AB145" s="98">
        <v>2393040</v>
      </c>
      <c r="AC145" s="102">
        <v>109.24999999999999</v>
      </c>
    </row>
    <row r="146" spans="1:29" s="58" customFormat="1" ht="18" customHeight="1" x14ac:dyDescent="0.2">
      <c r="A146" s="85" t="s">
        <v>847</v>
      </c>
      <c r="B146" s="85">
        <v>771862098</v>
      </c>
      <c r="C146" s="72" t="s">
        <v>848</v>
      </c>
      <c r="D146" s="62" t="s">
        <v>405</v>
      </c>
      <c r="E146" s="63" t="s">
        <v>849</v>
      </c>
      <c r="F146" s="62">
        <v>932295051</v>
      </c>
      <c r="G146" s="62" t="s">
        <v>725</v>
      </c>
      <c r="H146" s="67"/>
      <c r="I146" s="64"/>
      <c r="J146" s="62"/>
      <c r="K146" s="62"/>
      <c r="L146" s="62"/>
      <c r="M146" s="62"/>
      <c r="N146" s="62"/>
      <c r="O146" s="64"/>
      <c r="P146" s="62"/>
      <c r="Q146" s="71" t="s">
        <v>690</v>
      </c>
      <c r="R146" s="62"/>
      <c r="S146" s="62"/>
      <c r="T146" s="62"/>
      <c r="U146" s="67"/>
      <c r="V146" s="67"/>
      <c r="W146" s="65"/>
      <c r="X146" s="89">
        <v>0</v>
      </c>
      <c r="Y146" s="66">
        <v>0</v>
      </c>
      <c r="Z146" s="66">
        <v>0</v>
      </c>
      <c r="AA146" s="93">
        <v>0</v>
      </c>
      <c r="AB146" s="98">
        <v>0</v>
      </c>
      <c r="AC146" s="102">
        <v>0</v>
      </c>
    </row>
    <row r="147" spans="1:29" s="58" customFormat="1" ht="18" customHeight="1" x14ac:dyDescent="0.2">
      <c r="A147" s="85" t="s">
        <v>850</v>
      </c>
      <c r="B147" s="85">
        <v>130957684</v>
      </c>
      <c r="C147" s="72" t="s">
        <v>851</v>
      </c>
      <c r="D147" s="62" t="s">
        <v>408</v>
      </c>
      <c r="E147" s="63" t="s">
        <v>852</v>
      </c>
      <c r="F147" s="62">
        <v>982390866</v>
      </c>
      <c r="G147" s="62" t="s">
        <v>725</v>
      </c>
      <c r="H147" s="67" t="s">
        <v>853</v>
      </c>
      <c r="I147" s="64"/>
      <c r="J147" s="62"/>
      <c r="K147" s="62"/>
      <c r="L147" s="62">
        <v>4</v>
      </c>
      <c r="M147" s="62"/>
      <c r="N147" s="62" t="s">
        <v>854</v>
      </c>
      <c r="O147" s="64"/>
      <c r="P147" s="62"/>
      <c r="Q147" s="71" t="s">
        <v>855</v>
      </c>
      <c r="R147" s="62"/>
      <c r="S147" s="62"/>
      <c r="T147" s="62"/>
      <c r="U147" s="67"/>
      <c r="V147" s="67"/>
      <c r="W147" s="65"/>
      <c r="X147" s="89">
        <v>0</v>
      </c>
      <c r="Y147" s="66">
        <v>0</v>
      </c>
      <c r="Z147" s="66">
        <v>0</v>
      </c>
      <c r="AA147" s="93">
        <v>0</v>
      </c>
      <c r="AB147" s="98">
        <v>0</v>
      </c>
      <c r="AC147" s="102">
        <v>0</v>
      </c>
    </row>
    <row r="148" spans="1:29" s="58" customFormat="1" ht="18" customHeight="1" x14ac:dyDescent="0.2">
      <c r="A148" s="85" t="s">
        <v>912</v>
      </c>
      <c r="B148" s="85">
        <v>146351107</v>
      </c>
      <c r="C148" s="72" t="s">
        <v>856</v>
      </c>
      <c r="D148" s="62" t="s">
        <v>447</v>
      </c>
      <c r="E148" s="63" t="s">
        <v>857</v>
      </c>
      <c r="F148" s="62">
        <v>933851045</v>
      </c>
      <c r="G148" s="62" t="s">
        <v>725</v>
      </c>
      <c r="H148" s="67" t="s">
        <v>858</v>
      </c>
      <c r="I148" s="64"/>
      <c r="J148" s="62" t="s">
        <v>856</v>
      </c>
      <c r="K148" s="62" t="s">
        <v>366</v>
      </c>
      <c r="L148" s="62">
        <v>1</v>
      </c>
      <c r="M148" s="62"/>
      <c r="N148" s="62" t="s">
        <v>446</v>
      </c>
      <c r="O148" s="64"/>
      <c r="P148" s="62"/>
      <c r="Q148" s="71" t="s">
        <v>690</v>
      </c>
      <c r="R148" s="62"/>
      <c r="S148" s="62"/>
      <c r="T148" s="62"/>
      <c r="U148" s="67" t="s">
        <v>447</v>
      </c>
      <c r="V148" s="67"/>
      <c r="W148" s="65"/>
      <c r="X148" s="89">
        <v>294</v>
      </c>
      <c r="Y148" s="66">
        <v>291</v>
      </c>
      <c r="Z148" s="66">
        <v>3</v>
      </c>
      <c r="AA148" s="93">
        <v>0.98979591836734693</v>
      </c>
      <c r="AB148" s="98">
        <v>7305060</v>
      </c>
      <c r="AC148" s="102">
        <v>193.2</v>
      </c>
    </row>
    <row r="149" spans="1:29" s="58" customFormat="1" ht="18" customHeight="1" x14ac:dyDescent="0.2">
      <c r="A149" s="85" t="s">
        <v>859</v>
      </c>
      <c r="B149" s="85">
        <v>771250688</v>
      </c>
      <c r="C149" s="72" t="s">
        <v>441</v>
      </c>
      <c r="D149" s="62" t="s">
        <v>442</v>
      </c>
      <c r="E149" s="63" t="s">
        <v>860</v>
      </c>
      <c r="F149" s="62" t="s">
        <v>914</v>
      </c>
      <c r="G149" s="62" t="s">
        <v>328</v>
      </c>
      <c r="H149" s="67" t="s">
        <v>861</v>
      </c>
      <c r="I149" s="64"/>
      <c r="J149" s="62"/>
      <c r="K149" s="62"/>
      <c r="L149" s="62">
        <v>4</v>
      </c>
      <c r="M149" s="62"/>
      <c r="N149" s="62" t="s">
        <v>862</v>
      </c>
      <c r="O149" s="64"/>
      <c r="P149" s="62"/>
      <c r="Q149" s="71" t="s">
        <v>836</v>
      </c>
      <c r="R149" s="62"/>
      <c r="S149" s="62"/>
      <c r="T149" s="62"/>
      <c r="U149" s="67"/>
      <c r="V149" s="67"/>
      <c r="W149" s="65"/>
      <c r="X149" s="89">
        <v>303</v>
      </c>
      <c r="Y149" s="66">
        <v>194</v>
      </c>
      <c r="Z149" s="66">
        <v>109</v>
      </c>
      <c r="AA149" s="93">
        <v>0.64026402640264024</v>
      </c>
      <c r="AB149" s="98">
        <v>7512970</v>
      </c>
      <c r="AC149" s="102">
        <v>353.04999999999995</v>
      </c>
    </row>
    <row r="150" spans="1:29" s="58" customFormat="1" ht="18" customHeight="1" x14ac:dyDescent="0.2">
      <c r="A150" s="85" t="s">
        <v>830</v>
      </c>
      <c r="B150" s="85">
        <v>777307800</v>
      </c>
      <c r="C150" s="72" t="s">
        <v>831</v>
      </c>
      <c r="D150" s="62" t="s">
        <v>326</v>
      </c>
      <c r="E150" s="63" t="s">
        <v>832</v>
      </c>
      <c r="F150" s="62"/>
      <c r="G150" s="62" t="s">
        <v>438</v>
      </c>
      <c r="H150" s="67"/>
      <c r="I150" s="64"/>
      <c r="J150" s="62"/>
      <c r="K150" s="62"/>
      <c r="L150" s="62">
        <v>1</v>
      </c>
      <c r="M150" s="62"/>
      <c r="N150" s="62" t="s">
        <v>121</v>
      </c>
      <c r="O150" s="64"/>
      <c r="P150" s="62"/>
      <c r="Q150" s="71" t="s">
        <v>690</v>
      </c>
      <c r="R150" s="62"/>
      <c r="S150" s="62"/>
      <c r="T150" s="62"/>
      <c r="U150" s="67"/>
      <c r="V150" s="67"/>
      <c r="W150" s="65"/>
      <c r="X150" s="89">
        <v>0</v>
      </c>
      <c r="Y150" s="66">
        <v>0</v>
      </c>
      <c r="Z150" s="66">
        <v>0</v>
      </c>
      <c r="AA150" s="93">
        <v>0</v>
      </c>
      <c r="AB150" s="98">
        <v>0</v>
      </c>
      <c r="AC150" s="102">
        <v>0</v>
      </c>
    </row>
    <row r="151" spans="1:29" s="58" customFormat="1" ht="18" customHeight="1" x14ac:dyDescent="0.2">
      <c r="A151" s="85" t="s">
        <v>833</v>
      </c>
      <c r="B151" s="85" t="s">
        <v>1376</v>
      </c>
      <c r="C151" s="72" t="s">
        <v>834</v>
      </c>
      <c r="D151" s="62" t="s">
        <v>326</v>
      </c>
      <c r="E151" s="63" t="s">
        <v>835</v>
      </c>
      <c r="F151" s="62"/>
      <c r="G151" s="62" t="s">
        <v>438</v>
      </c>
      <c r="H151" s="67"/>
      <c r="I151" s="64"/>
      <c r="J151" s="62"/>
      <c r="K151" s="62"/>
      <c r="L151" s="62"/>
      <c r="M151" s="62"/>
      <c r="N151" s="62"/>
      <c r="O151" s="64"/>
      <c r="P151" s="62"/>
      <c r="Q151" s="71" t="s">
        <v>690</v>
      </c>
      <c r="R151" s="62"/>
      <c r="S151" s="62"/>
      <c r="T151" s="62"/>
      <c r="U151" s="67"/>
      <c r="V151" s="67"/>
      <c r="W151" s="65"/>
      <c r="X151" s="89">
        <v>0</v>
      </c>
      <c r="Y151" s="66">
        <v>0</v>
      </c>
      <c r="Z151" s="66">
        <v>0</v>
      </c>
      <c r="AA151" s="93">
        <v>0</v>
      </c>
      <c r="AB151" s="98">
        <v>0</v>
      </c>
      <c r="AC151" s="102">
        <v>0</v>
      </c>
    </row>
    <row r="152" spans="1:29" s="58" customFormat="1" ht="18" customHeight="1" x14ac:dyDescent="0.2">
      <c r="A152" s="85" t="s">
        <v>873</v>
      </c>
      <c r="B152" s="85">
        <v>760293652</v>
      </c>
      <c r="C152" s="72" t="s">
        <v>874</v>
      </c>
      <c r="D152" s="62" t="s">
        <v>405</v>
      </c>
      <c r="E152" s="63" t="s">
        <v>875</v>
      </c>
      <c r="F152" s="62">
        <v>956182397</v>
      </c>
      <c r="G152" s="62" t="s">
        <v>438</v>
      </c>
      <c r="H152" s="67" t="s">
        <v>876</v>
      </c>
      <c r="I152" s="64"/>
      <c r="J152" s="62"/>
      <c r="K152" s="62"/>
      <c r="L152" s="62">
        <v>3</v>
      </c>
      <c r="M152" s="62"/>
      <c r="N152" s="62" t="s">
        <v>732</v>
      </c>
      <c r="O152" s="64"/>
      <c r="P152" s="62"/>
      <c r="Q152" s="71" t="s">
        <v>690</v>
      </c>
      <c r="R152" s="62"/>
      <c r="S152" s="62"/>
      <c r="T152" s="62" t="s">
        <v>630</v>
      </c>
      <c r="U152" s="67"/>
      <c r="V152" s="67"/>
      <c r="W152" s="65"/>
      <c r="X152" s="89">
        <v>0</v>
      </c>
      <c r="Y152" s="66">
        <v>0</v>
      </c>
      <c r="Z152" s="66">
        <v>0</v>
      </c>
      <c r="AA152" s="93">
        <v>0</v>
      </c>
      <c r="AB152" s="98">
        <v>0</v>
      </c>
      <c r="AC152" s="102">
        <v>0</v>
      </c>
    </row>
    <row r="153" spans="1:29" s="58" customFormat="1" ht="18" customHeight="1" x14ac:dyDescent="0.2">
      <c r="A153" s="85" t="s">
        <v>878</v>
      </c>
      <c r="B153" s="85">
        <v>105613059</v>
      </c>
      <c r="C153" s="72" t="s">
        <v>879</v>
      </c>
      <c r="D153" s="62" t="s">
        <v>649</v>
      </c>
      <c r="E153" s="63" t="s">
        <v>880</v>
      </c>
      <c r="F153" s="62">
        <v>994676911</v>
      </c>
      <c r="G153" s="62" t="s">
        <v>725</v>
      </c>
      <c r="H153" s="67" t="s">
        <v>881</v>
      </c>
      <c r="I153" s="64"/>
      <c r="J153" s="62"/>
      <c r="K153" s="62"/>
      <c r="L153" s="62">
        <v>1</v>
      </c>
      <c r="M153" s="62"/>
      <c r="N153" s="62" t="s">
        <v>882</v>
      </c>
      <c r="O153" s="64"/>
      <c r="P153" s="75">
        <v>0.05</v>
      </c>
      <c r="Q153" s="71" t="s">
        <v>690</v>
      </c>
      <c r="R153" s="62"/>
      <c r="S153" s="62"/>
      <c r="T153" s="62"/>
      <c r="U153" s="67"/>
      <c r="V153" s="67"/>
      <c r="W153" s="65"/>
      <c r="X153" s="89">
        <v>0</v>
      </c>
      <c r="Y153" s="66">
        <v>0</v>
      </c>
      <c r="Z153" s="66">
        <v>0</v>
      </c>
      <c r="AA153" s="93">
        <v>0</v>
      </c>
      <c r="AB153" s="98">
        <v>0</v>
      </c>
      <c r="AC153" s="102">
        <v>35.65</v>
      </c>
    </row>
    <row r="154" spans="1:29" s="58" customFormat="1" ht="18" customHeight="1" x14ac:dyDescent="0.2">
      <c r="A154" s="85" t="s">
        <v>885</v>
      </c>
      <c r="B154" s="85">
        <v>768994374</v>
      </c>
      <c r="C154" s="72" t="s">
        <v>886</v>
      </c>
      <c r="D154" s="62" t="s">
        <v>610</v>
      </c>
      <c r="E154" s="63" t="s">
        <v>887</v>
      </c>
      <c r="F154" s="62">
        <v>953729221</v>
      </c>
      <c r="G154" s="62" t="s">
        <v>328</v>
      </c>
      <c r="H154" s="67" t="s">
        <v>888</v>
      </c>
      <c r="I154" s="64"/>
      <c r="J154" s="62"/>
      <c r="K154" s="62"/>
      <c r="L154" s="62">
        <v>2</v>
      </c>
      <c r="M154" s="62"/>
      <c r="N154" s="62" t="s">
        <v>111</v>
      </c>
      <c r="O154" s="64"/>
      <c r="P154" s="62"/>
      <c r="Q154" s="71" t="s">
        <v>868</v>
      </c>
      <c r="R154" s="62"/>
      <c r="S154" s="62"/>
      <c r="T154" s="62" t="s">
        <v>113</v>
      </c>
      <c r="U154" s="67" t="s">
        <v>610</v>
      </c>
      <c r="V154" s="67"/>
      <c r="W154" s="65"/>
      <c r="X154" s="89">
        <v>0</v>
      </c>
      <c r="Y154" s="66">
        <v>0</v>
      </c>
      <c r="Z154" s="66">
        <v>0</v>
      </c>
      <c r="AA154" s="93">
        <v>0</v>
      </c>
      <c r="AB154" s="98">
        <v>0</v>
      </c>
      <c r="AC154" s="102">
        <v>0</v>
      </c>
    </row>
    <row r="155" spans="1:29" s="58" customFormat="1" ht="18" customHeight="1" x14ac:dyDescent="0.2">
      <c r="A155" s="85" t="s">
        <v>33</v>
      </c>
      <c r="B155" s="85">
        <v>766400809</v>
      </c>
      <c r="C155" s="72" t="s">
        <v>889</v>
      </c>
      <c r="D155" s="62" t="s">
        <v>110</v>
      </c>
      <c r="E155" s="63" t="s">
        <v>890</v>
      </c>
      <c r="F155" s="62">
        <v>953729221</v>
      </c>
      <c r="G155" s="62" t="s">
        <v>328</v>
      </c>
      <c r="H155" s="67" t="s">
        <v>888</v>
      </c>
      <c r="I155" s="64"/>
      <c r="J155" s="62"/>
      <c r="K155" s="62"/>
      <c r="L155" s="62">
        <v>2</v>
      </c>
      <c r="M155" s="62"/>
      <c r="N155" s="62" t="s">
        <v>111</v>
      </c>
      <c r="O155" s="64"/>
      <c r="P155" s="62"/>
      <c r="Q155" s="71" t="s">
        <v>868</v>
      </c>
      <c r="R155" s="62"/>
      <c r="S155" s="62"/>
      <c r="T155" s="62" t="s">
        <v>113</v>
      </c>
      <c r="U155" s="67" t="s">
        <v>110</v>
      </c>
      <c r="V155" s="67"/>
      <c r="W155" s="65"/>
      <c r="X155" s="89">
        <v>0</v>
      </c>
      <c r="Y155" s="66">
        <v>0</v>
      </c>
      <c r="Z155" s="66">
        <v>0</v>
      </c>
      <c r="AA155" s="93">
        <v>0</v>
      </c>
      <c r="AB155" s="98">
        <v>0</v>
      </c>
      <c r="AC155" s="102">
        <v>0</v>
      </c>
    </row>
    <row r="156" spans="1:29" s="58" customFormat="1" ht="18" customHeight="1" x14ac:dyDescent="0.2">
      <c r="A156" s="85" t="s">
        <v>579</v>
      </c>
      <c r="B156" s="85" t="s">
        <v>1367</v>
      </c>
      <c r="C156" s="72" t="s">
        <v>891</v>
      </c>
      <c r="D156" s="62" t="s">
        <v>586</v>
      </c>
      <c r="E156" s="63" t="s">
        <v>581</v>
      </c>
      <c r="F156" s="62">
        <v>966752904</v>
      </c>
      <c r="G156" s="62" t="s">
        <v>286</v>
      </c>
      <c r="H156" s="67" t="s">
        <v>583</v>
      </c>
      <c r="I156" s="64"/>
      <c r="J156" s="62" t="s">
        <v>892</v>
      </c>
      <c r="K156" s="62"/>
      <c r="L156" s="62">
        <v>4</v>
      </c>
      <c r="M156" s="62"/>
      <c r="N156" s="62" t="s">
        <v>741</v>
      </c>
      <c r="O156" s="64"/>
      <c r="P156" s="62"/>
      <c r="Q156" s="71" t="s">
        <v>893</v>
      </c>
      <c r="R156" s="62"/>
      <c r="S156" s="62" t="s">
        <v>569</v>
      </c>
      <c r="T156" s="62" t="s">
        <v>894</v>
      </c>
      <c r="U156" s="67" t="s">
        <v>586</v>
      </c>
      <c r="V156" s="67"/>
      <c r="W156" s="65"/>
      <c r="X156" s="89">
        <v>83</v>
      </c>
      <c r="Y156" s="66">
        <v>69</v>
      </c>
      <c r="Z156" s="66">
        <v>14</v>
      </c>
      <c r="AA156" s="93">
        <v>0.83132530120481929</v>
      </c>
      <c r="AB156" s="98">
        <v>2050170</v>
      </c>
      <c r="AC156" s="102">
        <v>114.99999999999999</v>
      </c>
    </row>
    <row r="157" spans="1:29" s="58" customFormat="1" ht="18" customHeight="1" x14ac:dyDescent="0.2">
      <c r="A157" s="85" t="s">
        <v>1378</v>
      </c>
      <c r="B157" s="85">
        <v>770913578</v>
      </c>
      <c r="C157" s="72" t="s">
        <v>932</v>
      </c>
      <c r="D157" s="62" t="s">
        <v>934</v>
      </c>
      <c r="E157" s="63" t="s">
        <v>933</v>
      </c>
      <c r="F157" s="62">
        <v>56999573726</v>
      </c>
      <c r="G157" s="62"/>
      <c r="H157" s="67" t="s">
        <v>935</v>
      </c>
      <c r="I157" s="64"/>
      <c r="J157" s="62"/>
      <c r="K157" s="62"/>
      <c r="L157" s="62">
        <v>1</v>
      </c>
      <c r="M157" s="62"/>
      <c r="N157" s="62" t="s">
        <v>385</v>
      </c>
      <c r="O157" s="64"/>
      <c r="P157" s="62"/>
      <c r="Q157" s="71" t="s">
        <v>690</v>
      </c>
      <c r="R157" s="62"/>
      <c r="S157" s="62"/>
      <c r="T157" s="62" t="s">
        <v>936</v>
      </c>
      <c r="U157" s="67"/>
      <c r="V157" s="67"/>
      <c r="W157" s="65"/>
      <c r="X157" s="89">
        <v>0</v>
      </c>
      <c r="Y157" s="66">
        <v>0</v>
      </c>
      <c r="Z157" s="66">
        <v>0</v>
      </c>
      <c r="AA157" s="93">
        <v>0</v>
      </c>
      <c r="AB157" s="98">
        <v>0</v>
      </c>
      <c r="AC157" s="102">
        <v>100.05</v>
      </c>
    </row>
    <row r="158" spans="1:29" s="58" customFormat="1" ht="18" customHeight="1" x14ac:dyDescent="0.2">
      <c r="A158" s="85" t="s">
        <v>946</v>
      </c>
      <c r="B158" s="85">
        <v>769758240</v>
      </c>
      <c r="C158" s="72" t="s">
        <v>947</v>
      </c>
      <c r="D158" s="62" t="s">
        <v>949</v>
      </c>
      <c r="E158" s="63" t="s">
        <v>948</v>
      </c>
      <c r="F158" s="62"/>
      <c r="G158" s="62" t="s">
        <v>328</v>
      </c>
      <c r="H158" s="67" t="s">
        <v>950</v>
      </c>
      <c r="I158" s="64"/>
      <c r="J158" s="62"/>
      <c r="K158" s="62"/>
      <c r="L158" s="62"/>
      <c r="M158" s="62"/>
      <c r="N158" s="62" t="s">
        <v>1029</v>
      </c>
      <c r="O158" s="64"/>
      <c r="P158" s="62"/>
      <c r="Q158" s="71" t="s">
        <v>836</v>
      </c>
      <c r="R158" s="62"/>
      <c r="S158" s="62" t="s">
        <v>112</v>
      </c>
      <c r="T158" s="62"/>
      <c r="U158" s="67"/>
      <c r="V158" s="67"/>
      <c r="W158" s="65"/>
      <c r="X158" s="89">
        <v>50</v>
      </c>
      <c r="Y158" s="66">
        <v>47</v>
      </c>
      <c r="Z158" s="66">
        <v>3</v>
      </c>
      <c r="AA158" s="93">
        <v>0.94</v>
      </c>
      <c r="AB158" s="98">
        <v>1261500</v>
      </c>
      <c r="AC158" s="102">
        <v>215.04999999999998</v>
      </c>
    </row>
    <row r="159" spans="1:29" s="58" customFormat="1" ht="18" customHeight="1" x14ac:dyDescent="0.2">
      <c r="A159" s="85" t="s">
        <v>953</v>
      </c>
      <c r="B159" s="85">
        <v>760381810</v>
      </c>
      <c r="C159" s="72" t="s">
        <v>952</v>
      </c>
      <c r="D159" s="62" t="s">
        <v>954</v>
      </c>
      <c r="E159" s="63" t="s">
        <v>955</v>
      </c>
      <c r="F159" s="62" t="s">
        <v>956</v>
      </c>
      <c r="G159" s="62" t="s">
        <v>957</v>
      </c>
      <c r="H159" s="67" t="s">
        <v>958</v>
      </c>
      <c r="I159" s="64"/>
      <c r="J159" s="62"/>
      <c r="K159" s="62"/>
      <c r="L159" s="62"/>
      <c r="M159" s="62"/>
      <c r="N159" s="62"/>
      <c r="O159" s="64"/>
      <c r="P159" s="62"/>
      <c r="Q159" s="71"/>
      <c r="R159" s="62"/>
      <c r="S159" s="62" t="s">
        <v>112</v>
      </c>
      <c r="T159" s="62" t="s">
        <v>959</v>
      </c>
      <c r="U159" s="67"/>
      <c r="V159" s="67"/>
      <c r="W159" s="65"/>
      <c r="X159" s="89">
        <v>0</v>
      </c>
      <c r="Y159" s="66">
        <v>0</v>
      </c>
      <c r="Z159" s="66">
        <v>0</v>
      </c>
      <c r="AA159" s="93">
        <v>0</v>
      </c>
      <c r="AB159" s="98">
        <v>0</v>
      </c>
      <c r="AC159" s="102">
        <v>72.449999999999989</v>
      </c>
    </row>
    <row r="160" spans="1:29" s="58" customFormat="1" ht="18" customHeight="1" x14ac:dyDescent="0.2">
      <c r="A160" s="85" t="s">
        <v>962</v>
      </c>
      <c r="B160" s="85">
        <v>768243794</v>
      </c>
      <c r="C160" s="72" t="s">
        <v>961</v>
      </c>
      <c r="D160" s="62" t="s">
        <v>349</v>
      </c>
      <c r="E160" s="63" t="s">
        <v>963</v>
      </c>
      <c r="F160" s="62">
        <v>65733720</v>
      </c>
      <c r="G160" s="62" t="s">
        <v>957</v>
      </c>
      <c r="H160" s="67" t="s">
        <v>964</v>
      </c>
      <c r="I160" s="64"/>
      <c r="J160" s="62"/>
      <c r="K160" s="62"/>
      <c r="L160" s="62"/>
      <c r="M160" s="62"/>
      <c r="N160" s="62"/>
      <c r="O160" s="64"/>
      <c r="P160" s="62"/>
      <c r="Q160" s="71"/>
      <c r="R160" s="62"/>
      <c r="S160" s="62"/>
      <c r="T160" s="62"/>
      <c r="U160" s="67"/>
      <c r="V160" s="67"/>
      <c r="W160" s="65"/>
      <c r="X160" s="89">
        <v>529</v>
      </c>
      <c r="Y160" s="66">
        <v>426</v>
      </c>
      <c r="Z160" s="66">
        <v>103</v>
      </c>
      <c r="AA160" s="93">
        <v>0.80529300567107753</v>
      </c>
      <c r="AB160" s="98">
        <v>13200710</v>
      </c>
      <c r="AC160" s="102">
        <v>733.69999999999993</v>
      </c>
    </row>
    <row r="161" spans="1:29" s="58" customFormat="1" ht="18" customHeight="1" x14ac:dyDescent="0.2">
      <c r="A161" s="85" t="s">
        <v>965</v>
      </c>
      <c r="B161" s="85">
        <v>760094900</v>
      </c>
      <c r="C161" s="72" t="s">
        <v>966</v>
      </c>
      <c r="D161" s="62" t="s">
        <v>452</v>
      </c>
      <c r="E161" s="63" t="s">
        <v>967</v>
      </c>
      <c r="F161" s="62">
        <v>953729221</v>
      </c>
      <c r="G161" s="62" t="s">
        <v>328</v>
      </c>
      <c r="H161" s="67" t="s">
        <v>968</v>
      </c>
      <c r="I161" s="64"/>
      <c r="J161" s="62"/>
      <c r="K161" s="62"/>
      <c r="L161" s="62"/>
      <c r="M161" s="62"/>
      <c r="N161" s="62" t="s">
        <v>969</v>
      </c>
      <c r="O161" s="64"/>
      <c r="P161" s="62"/>
      <c r="Q161" s="71"/>
      <c r="R161" s="62"/>
      <c r="S161" s="62"/>
      <c r="T161" s="62"/>
      <c r="U161" s="67"/>
      <c r="V161" s="67"/>
      <c r="W161" s="65"/>
      <c r="X161" s="89">
        <v>0</v>
      </c>
      <c r="Y161" s="66">
        <v>0</v>
      </c>
      <c r="Z161" s="66">
        <v>0</v>
      </c>
      <c r="AA161" s="93">
        <v>0</v>
      </c>
      <c r="AB161" s="98">
        <v>0</v>
      </c>
      <c r="AC161" s="102">
        <v>0</v>
      </c>
    </row>
    <row r="162" spans="1:29" s="58" customFormat="1" ht="18" customHeight="1" x14ac:dyDescent="0.2">
      <c r="A162" s="85" t="s">
        <v>971</v>
      </c>
      <c r="B162" s="85">
        <v>808569000</v>
      </c>
      <c r="C162" s="72" t="s">
        <v>970</v>
      </c>
      <c r="D162" s="62" t="s">
        <v>457</v>
      </c>
      <c r="E162" s="63" t="s">
        <v>972</v>
      </c>
      <c r="F162" s="62" t="s">
        <v>973</v>
      </c>
      <c r="G162" s="62" t="s">
        <v>286</v>
      </c>
      <c r="H162" s="67" t="s">
        <v>975</v>
      </c>
      <c r="I162" s="64"/>
      <c r="J162" s="62"/>
      <c r="K162" s="62"/>
      <c r="L162" s="62"/>
      <c r="M162" s="62"/>
      <c r="N162" s="62" t="s">
        <v>974</v>
      </c>
      <c r="O162" s="64"/>
      <c r="P162" s="62"/>
      <c r="Q162" s="71"/>
      <c r="R162" s="62"/>
      <c r="S162" s="62"/>
      <c r="T162" s="62"/>
      <c r="U162" s="67"/>
      <c r="V162" s="67"/>
      <c r="W162" s="65"/>
      <c r="X162" s="89">
        <v>112</v>
      </c>
      <c r="Y162" s="66">
        <v>79</v>
      </c>
      <c r="Z162" s="66">
        <v>33</v>
      </c>
      <c r="AA162" s="93">
        <v>0.7053571428571429</v>
      </c>
      <c r="AB162" s="98">
        <v>2798880</v>
      </c>
      <c r="AC162" s="102">
        <v>188.6</v>
      </c>
    </row>
    <row r="163" spans="1:29" s="58" customFormat="1" ht="18" customHeight="1" x14ac:dyDescent="0.2">
      <c r="A163" s="85" t="s">
        <v>977</v>
      </c>
      <c r="B163" s="85">
        <v>122137252</v>
      </c>
      <c r="C163" s="72" t="s">
        <v>976</v>
      </c>
      <c r="D163" s="62" t="s">
        <v>457</v>
      </c>
      <c r="E163" s="63" t="s">
        <v>978</v>
      </c>
      <c r="F163" s="62">
        <v>993366440</v>
      </c>
      <c r="G163" s="62" t="s">
        <v>286</v>
      </c>
      <c r="H163" s="67" t="s">
        <v>979</v>
      </c>
      <c r="I163" s="64"/>
      <c r="J163" s="62"/>
      <c r="K163" s="62"/>
      <c r="L163" s="62"/>
      <c r="M163" s="62"/>
      <c r="N163" s="62" t="s">
        <v>732</v>
      </c>
      <c r="O163" s="64"/>
      <c r="P163" s="62"/>
      <c r="Q163" s="71"/>
      <c r="R163" s="62"/>
      <c r="S163" s="62"/>
      <c r="T163" s="62"/>
      <c r="U163" s="67"/>
      <c r="V163" s="67"/>
      <c r="W163" s="65"/>
      <c r="X163" s="89">
        <v>0</v>
      </c>
      <c r="Y163" s="66">
        <v>0</v>
      </c>
      <c r="Z163" s="66">
        <v>0</v>
      </c>
      <c r="AA163" s="93">
        <v>0</v>
      </c>
      <c r="AB163" s="98">
        <v>0</v>
      </c>
      <c r="AC163" s="102">
        <v>36.799999999999997</v>
      </c>
    </row>
    <row r="164" spans="1:29" s="58" customFormat="1" ht="18" customHeight="1" x14ac:dyDescent="0.2">
      <c r="A164" s="85" t="s">
        <v>981</v>
      </c>
      <c r="B164" s="85">
        <v>145577349</v>
      </c>
      <c r="C164" s="72" t="s">
        <v>980</v>
      </c>
      <c r="D164" s="62" t="s">
        <v>457</v>
      </c>
      <c r="E164" s="63" t="s">
        <v>982</v>
      </c>
      <c r="F164" s="62">
        <v>953484368</v>
      </c>
      <c r="G164" s="62" t="s">
        <v>286</v>
      </c>
      <c r="H164" s="67" t="s">
        <v>983</v>
      </c>
      <c r="I164" s="64"/>
      <c r="J164" s="62"/>
      <c r="K164" s="62"/>
      <c r="L164" s="62"/>
      <c r="M164" s="62"/>
      <c r="N164" s="62" t="s">
        <v>732</v>
      </c>
      <c r="O164" s="64"/>
      <c r="P164" s="62"/>
      <c r="Q164" s="71"/>
      <c r="R164" s="62"/>
      <c r="S164" s="62"/>
      <c r="T164" s="62"/>
      <c r="U164" s="67"/>
      <c r="V164" s="67"/>
      <c r="W164" s="65"/>
      <c r="X164" s="89">
        <v>0</v>
      </c>
      <c r="Y164" s="66">
        <v>0</v>
      </c>
      <c r="Z164" s="66">
        <v>0</v>
      </c>
      <c r="AA164" s="93">
        <v>0</v>
      </c>
      <c r="AB164" s="98">
        <v>0</v>
      </c>
      <c r="AC164" s="102">
        <v>28.749999999999996</v>
      </c>
    </row>
    <row r="165" spans="1:29" s="58" customFormat="1" ht="18" customHeight="1" x14ac:dyDescent="0.2">
      <c r="A165" s="85" t="s">
        <v>984</v>
      </c>
      <c r="B165" s="85">
        <v>773157928</v>
      </c>
      <c r="C165" s="72" t="s">
        <v>985</v>
      </c>
      <c r="D165" s="62" t="s">
        <v>367</v>
      </c>
      <c r="E165" s="63" t="s">
        <v>986</v>
      </c>
      <c r="F165" s="62">
        <v>952426962</v>
      </c>
      <c r="G165" s="62" t="s">
        <v>328</v>
      </c>
      <c r="H165" s="67" t="s">
        <v>987</v>
      </c>
      <c r="I165" s="64"/>
      <c r="J165" s="62"/>
      <c r="K165" s="62"/>
      <c r="L165" s="62"/>
      <c r="M165" s="62"/>
      <c r="N165" s="62" t="s">
        <v>118</v>
      </c>
      <c r="O165" s="64"/>
      <c r="P165" s="62"/>
      <c r="Q165" s="71"/>
      <c r="R165" s="62"/>
      <c r="S165" s="62"/>
      <c r="T165" s="62"/>
      <c r="U165" s="67"/>
      <c r="V165" s="67"/>
      <c r="W165" s="65"/>
      <c r="X165" s="89">
        <v>84</v>
      </c>
      <c r="Y165" s="66">
        <v>70</v>
      </c>
      <c r="Z165" s="66">
        <v>14</v>
      </c>
      <c r="AA165" s="93">
        <v>0.83333333333333337</v>
      </c>
      <c r="AB165" s="98">
        <v>2075160</v>
      </c>
      <c r="AC165" s="102">
        <v>156.39999999999998</v>
      </c>
    </row>
    <row r="166" spans="1:29" s="58" customFormat="1" ht="18" customHeight="1" x14ac:dyDescent="0.2">
      <c r="A166" s="85" t="s">
        <v>988</v>
      </c>
      <c r="B166" s="85">
        <v>771115829</v>
      </c>
      <c r="C166" s="72" t="s">
        <v>989</v>
      </c>
      <c r="D166" s="62" t="s">
        <v>394</v>
      </c>
      <c r="E166" s="63" t="s">
        <v>990</v>
      </c>
      <c r="F166" s="62">
        <v>999392376</v>
      </c>
      <c r="G166" s="62" t="s">
        <v>328</v>
      </c>
      <c r="H166" s="67" t="s">
        <v>991</v>
      </c>
      <c r="I166" s="64"/>
      <c r="J166" s="62"/>
      <c r="K166" s="62"/>
      <c r="L166" s="62"/>
      <c r="M166" s="62"/>
      <c r="N166" s="62" t="s">
        <v>453</v>
      </c>
      <c r="O166" s="64"/>
      <c r="P166" s="62"/>
      <c r="Q166" s="71"/>
      <c r="R166" s="62"/>
      <c r="S166" s="62" t="s">
        <v>353</v>
      </c>
      <c r="T166" s="62"/>
      <c r="U166" s="67"/>
      <c r="V166" s="67"/>
      <c r="W166" s="65"/>
      <c r="X166" s="89">
        <v>0</v>
      </c>
      <c r="Y166" s="66">
        <v>0</v>
      </c>
      <c r="Z166" s="66">
        <v>0</v>
      </c>
      <c r="AA166" s="93">
        <v>0</v>
      </c>
      <c r="AB166" s="98">
        <v>0</v>
      </c>
      <c r="AC166" s="102">
        <v>0</v>
      </c>
    </row>
    <row r="167" spans="1:29" ht="18" customHeight="1" x14ac:dyDescent="0.2"/>
  </sheetData>
  <hyperlinks>
    <hyperlink ref="H65" r:id="rId1" xr:uid="{8F137A15-9413-46C6-BAC4-E9DBAA5B42DE}"/>
    <hyperlink ref="H88" r:id="rId2" xr:uid="{887BD79F-2CBC-4CAC-84D0-4D3351F85F19}"/>
    <hyperlink ref="H115" r:id="rId3" xr:uid="{B140F9D2-051F-4E0E-B4D5-EF5F9CFA25D5}"/>
    <hyperlink ref="H17" r:id="rId4" xr:uid="{5AA2D6DF-BAE4-4FE7-8103-D56F739577D0}"/>
    <hyperlink ref="H106" r:id="rId5" xr:uid="{68F67CC5-5EC9-4748-91F8-701A212E6395}"/>
    <hyperlink ref="H15" r:id="rId6" xr:uid="{49643FE9-EB2F-4533-9683-88A339C54D59}"/>
    <hyperlink ref="H69" r:id="rId7" display="tiendayuly@patagoniachile.cl    " xr:uid="{62B73A41-3BC7-468F-8EA7-336A6F422CE5}"/>
    <hyperlink ref="H128" r:id="rId8" xr:uid="{4D2B7842-94E3-478A-A834-A2D3B53DF6AE}"/>
    <hyperlink ref="H28" r:id="rId9" xr:uid="{ABFDC084-89AF-41A3-8022-8D519F6800C4}"/>
    <hyperlink ref="H14" r:id="rId10" xr:uid="{FFD97368-EDA5-4A49-98B1-117472726109}"/>
    <hyperlink ref="H130" r:id="rId11" xr:uid="{4FEBC01D-76CC-47A4-B5E1-65FD2AAF009E}"/>
    <hyperlink ref="H140" r:id="rId12" xr:uid="{9925CA42-AA7D-458D-9C2A-E549B3C86C16}"/>
    <hyperlink ref="H144" r:id="rId13" xr:uid="{90752969-B713-447F-9098-75EDA416B3CC}"/>
    <hyperlink ref="H145" r:id="rId14" xr:uid="{B23AAD11-5387-4924-9FBE-3F94D30C4E83}"/>
    <hyperlink ref="H77" r:id="rId15" display="SAHARAANGOL@GMAIL.COM" xr:uid="{7DF5A53B-6121-4F74-B655-225C06A01AC7}"/>
    <hyperlink ref="H84" r:id="rId16" xr:uid="{EFD85C97-344E-4F79-B04A-489D60039AF5}"/>
    <hyperlink ref="H45" r:id="rId17" xr:uid="{7F58F08F-7553-49EF-BF85-A234BFD65555}"/>
    <hyperlink ref="H58" r:id="rId18" display="BOUTIQUELOSCISNES@GMAIL.COM     " xr:uid="{46670863-68CA-43F2-854E-2FA99765E9FB}"/>
    <hyperlink ref="H99" r:id="rId19" xr:uid="{B5115F35-0493-4FE8-935B-FBF08CAA30F7}"/>
    <hyperlink ref="H148" r:id="rId20" xr:uid="{01F3519A-DA96-47BD-9469-ED12D1A9CCAD}"/>
    <hyperlink ref="H39" r:id="rId21" xr:uid="{6082360B-AFCF-455B-97C8-6F1F0B1DDAE2}"/>
    <hyperlink ref="H114" r:id="rId22" xr:uid="{99517950-B47C-4871-95CA-EB199856D333}"/>
    <hyperlink ref="H19" r:id="rId23" xr:uid="{9992565D-FE69-41F9-881B-EB0D4027D271}"/>
    <hyperlink ref="H83" r:id="rId24" xr:uid="{5E916938-E2BE-4830-BC45-53DFBD6A1AD9}"/>
    <hyperlink ref="H124" r:id="rId25" xr:uid="{725FB371-1D90-45D3-B3AB-F5E6BF591A3A}"/>
    <hyperlink ref="H75" r:id="rId26" display="tiendascycecilia@gmail.com     " xr:uid="{10D4C95E-6D8D-4288-B433-A858EDB286A3}"/>
    <hyperlink ref="H47" r:id="rId27" xr:uid="{80957256-6E96-4B0E-BBB8-8A40FC73E51D}"/>
    <hyperlink ref="H16" r:id="rId28" xr:uid="{C2F95FF8-F428-499C-AA9D-1468A687CF90}"/>
    <hyperlink ref="H147" r:id="rId29" xr:uid="{396DD081-9E58-4CC2-A998-594130483110}"/>
    <hyperlink ref="H72" r:id="rId30" display="e.anabalon@mawi.cl" xr:uid="{FDC87B71-34AE-42FD-98D8-5BF6055A8625}"/>
    <hyperlink ref="H121" r:id="rId31" xr:uid="{0BACEFCB-A4C1-4651-A835-148E080E5085}"/>
    <hyperlink ref="H142" r:id="rId32" xr:uid="{56EEB45B-304C-41BB-B0E0-BDC354B6E575}"/>
    <hyperlink ref="H143" r:id="rId33" xr:uid="{9B5F3116-F226-4004-8F3A-1E3108AE71B6}"/>
    <hyperlink ref="H86" r:id="rId34" xr:uid="{E750D4BD-BC3A-4E4F-A2A4-641CD3003149}"/>
    <hyperlink ref="H93" r:id="rId35" xr:uid="{BC4B483A-CC1F-400C-B133-0EF72AC4523D}"/>
    <hyperlink ref="H52" r:id="rId36" xr:uid="{F0E440E5-57CC-4E63-9AF3-B358F5A51D59}"/>
    <hyperlink ref="H55" r:id="rId37" xr:uid="{9EC9FADE-53EF-4E6D-824F-0F58763972B3}"/>
    <hyperlink ref="H98" r:id="rId38" xr:uid="{2CEE9639-6832-4B69-AC6F-2D0BCDADB569}"/>
    <hyperlink ref="H62" r:id="rId39" xr:uid="{4F567775-A492-4784-A375-9E362A4DF401}"/>
    <hyperlink ref="H85" r:id="rId40" xr:uid="{040076CD-7331-4814-A6E9-D1A63C0CA2AD}"/>
    <hyperlink ref="H112" r:id="rId41" xr:uid="{CEC92EC1-AA15-4684-8B79-EAD810390507}"/>
    <hyperlink ref="H110" r:id="rId42" xr:uid="{7E695F2C-64DE-4CA5-80BB-DB7F95125B26}"/>
    <hyperlink ref="H111" r:id="rId43" xr:uid="{E41B1ACB-AF3B-4C76-8ECB-78F111D2E088}"/>
    <hyperlink ref="H152" r:id="rId44" xr:uid="{E90D14D1-50C9-447C-9D5A-0CB8370956CE}"/>
    <hyperlink ref="H46" r:id="rId45" xr:uid="{4D2C8046-3731-4666-87F5-A9B8381B0CC3}"/>
    <hyperlink ref="H81" r:id="rId46" xr:uid="{17A9FE96-4BF9-4288-8A4C-9E063D8FC469}"/>
    <hyperlink ref="H153" r:id="rId47" xr:uid="{B4A36B04-E48F-4F43-94A2-5051817471B1}"/>
    <hyperlink ref="H117" r:id="rId48" xr:uid="{774DABA8-DDB0-41A7-AC83-40D78AEF420B}"/>
    <hyperlink ref="H154" r:id="rId49" xr:uid="{85FDC459-9F49-43DE-A173-E3EDAB1B6D60}"/>
    <hyperlink ref="H60" r:id="rId50" xr:uid="{E26103A1-0295-43A8-A196-148AFCD3917A}"/>
    <hyperlink ref="H155" r:id="rId51" xr:uid="{082530DB-6010-409B-AE02-2D6F59D97156}"/>
    <hyperlink ref="H141" r:id="rId52" xr:uid="{637F146F-912D-444E-8BD4-AD5CB0972D7F}"/>
    <hyperlink ref="H34" r:id="rId53" xr:uid="{CCFDE42F-39EF-4CC0-B1E6-71772E5EE89A}"/>
    <hyperlink ref="H89" r:id="rId54" xr:uid="{DCDC0428-9A2A-4C66-8CB1-B00C410E9493}"/>
    <hyperlink ref="H149" r:id="rId55" xr:uid="{90671E88-156D-4ABA-A5F1-F9BD7FBF7D12}"/>
    <hyperlink ref="I144" r:id="rId56" xr:uid="{DF9950C6-6B3C-4E77-B639-B14507D0675B}"/>
    <hyperlink ref="H139" r:id="rId57" xr:uid="{3A58CC4F-E456-4E9B-89B5-D6A22D4B0C66}"/>
    <hyperlink ref="H134" r:id="rId58" xr:uid="{E34445DA-763B-4E06-B422-63CC7CAA01CF}"/>
    <hyperlink ref="H136" r:id="rId59" display="TIENDAJOSSELIN@HOTMAIL.COM    " xr:uid="{CB88022B-96F1-4665-8A9F-B4AFAE53BD09}"/>
    <hyperlink ref="H135" r:id="rId60" xr:uid="{DADEC7BD-2F84-40A0-852A-AF7F03A53F29}"/>
    <hyperlink ref="H137" r:id="rId61" xr:uid="{EA6975E0-41AD-4891-A975-3C0199E0857B}"/>
    <hyperlink ref="H138" r:id="rId62" xr:uid="{A6A624E0-B95C-4B93-BF8E-7CAE39A4643A}"/>
    <hyperlink ref="H133" r:id="rId63" display="joyas_veronica@hotmail.com    " xr:uid="{AC68503A-13E2-40F5-9D22-CED2C882B3D7}"/>
    <hyperlink ref="H157" r:id="rId64" xr:uid="{FB730E46-80D8-4B2B-9C48-C548922BB7D3}"/>
    <hyperlink ref="H71" r:id="rId65" display="cvegamartino@gmail.com        " xr:uid="{529C99D6-3832-4876-A669-6F18FA162555}"/>
    <hyperlink ref="H160" r:id="rId66" xr:uid="{3CD62194-5FAB-4DC4-A2F3-C78757F18BD3}"/>
    <hyperlink ref="H165" r:id="rId67" xr:uid="{0ECC3BB2-10AF-4E87-8BDF-696280E886D4}"/>
    <hyperlink ref="H166" r:id="rId68" xr:uid="{4F134FC7-A85D-4913-8108-22BC5172D011}"/>
  </hyperlinks>
  <pageMargins left="0.7" right="0.7" top="0.75" bottom="0.75" header="0.3" footer="0.3"/>
  <pageSetup orientation="portrait" horizontalDpi="0" verticalDpi="0" r:id="rId69"/>
  <drawing r:id="rId70"/>
  <legacyDrawing r:id="rId7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6737" r:id="rId72" name="Button 1">
              <controlPr defaultSize="0" print="0" autoFill="0" autoPict="0" macro="[0]!volver">
                <anchor moveWithCells="1" sizeWithCells="1">
                  <from>
                    <xdr:col>0</xdr:col>
                    <xdr:colOff>19050</xdr:colOff>
                    <xdr:row>0</xdr:row>
                    <xdr:rowOff>28575</xdr:rowOff>
                  </from>
                  <to>
                    <xdr:col>1</xdr:col>
                    <xdr:colOff>885825</xdr:colOff>
                    <xdr:row>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38" r:id="rId73" name="Button 2">
              <controlPr defaultSize="0" print="0" autoFill="0" autoPict="0" macro="[0]!Botón2_Haga_clic_en">
                <anchor moveWithCells="1" sizeWithCells="1">
                  <from>
                    <xdr:col>0</xdr:col>
                    <xdr:colOff>19050</xdr:colOff>
                    <xdr:row>0</xdr:row>
                    <xdr:rowOff>28575</xdr:rowOff>
                  </from>
                  <to>
                    <xdr:col>1</xdr:col>
                    <xdr:colOff>885825</xdr:colOff>
                    <xdr:row>1</xdr:row>
                    <xdr:rowOff>76200</xdr:rowOff>
                  </to>
                </anchor>
              </controlPr>
            </control>
          </mc:Choice>
        </mc:AlternateContent>
      </controls>
    </mc:Choice>
  </mc:AlternateContent>
  <tableParts count="1">
    <tablePart r:id="rId7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9">
    <tabColor rgb="FFFFC000"/>
  </sheetPr>
  <dimension ref="A1:AC167"/>
  <sheetViews>
    <sheetView showGridLines="0" tabSelected="1" zoomScale="120" zoomScaleNormal="120" workbookViewId="0">
      <pane xSplit="3" ySplit="3" topLeftCell="D157" activePane="bottomRight" state="frozen"/>
      <selection activeCell="P12" sqref="P12:Q12"/>
      <selection pane="topRight" activeCell="P12" sqref="P12:Q12"/>
      <selection pane="bottomLeft" activeCell="P12" sqref="P12:Q12"/>
      <selection pane="bottomRight" activeCell="C4" sqref="C4:C166"/>
    </sheetView>
  </sheetViews>
  <sheetFormatPr baseColWidth="10" defaultColWidth="11.42578125" defaultRowHeight="12.75" x14ac:dyDescent="0.2"/>
  <cols>
    <col min="1" max="1" width="13.5703125" style="73" customWidth="1"/>
    <col min="2" max="2" width="10" style="73" bestFit="1" customWidth="1"/>
    <col min="3" max="3" width="50.5703125" style="21" customWidth="1"/>
    <col min="4" max="4" width="21.5703125" style="17" customWidth="1"/>
    <col min="5" max="5" width="32.7109375" style="19" customWidth="1"/>
    <col min="6" max="6" width="26" style="17" bestFit="1" customWidth="1"/>
    <col min="7" max="7" width="18.85546875" style="17" bestFit="1" customWidth="1"/>
    <col min="8" max="8" width="50.5703125" style="73" bestFit="1" customWidth="1"/>
    <col min="9" max="9" width="33" style="20" bestFit="1" customWidth="1"/>
    <col min="10" max="10" width="25.140625" style="17" bestFit="1" customWidth="1"/>
    <col min="11" max="11" width="20.28515625" style="17" customWidth="1"/>
    <col min="12" max="12" width="9" style="17" customWidth="1"/>
    <col min="13" max="13" width="11.85546875" style="17" customWidth="1"/>
    <col min="14" max="14" width="18.85546875" style="17" customWidth="1"/>
    <col min="15" max="15" width="12.42578125" style="20" customWidth="1"/>
    <col min="16" max="16" width="9.140625" style="17" bestFit="1" customWidth="1"/>
    <col min="17" max="17" width="32.85546875" style="17" customWidth="1"/>
    <col min="18" max="18" width="21.42578125" style="17" customWidth="1"/>
    <col min="19" max="19" width="28.5703125" style="17" customWidth="1"/>
    <col min="20" max="20" width="23.28515625" style="17" customWidth="1"/>
    <col min="21" max="21" width="18.5703125" style="73" customWidth="1"/>
    <col min="22" max="22" width="70.5703125" style="73" customWidth="1"/>
    <col min="23" max="23" width="11.42578125" style="18"/>
    <col min="24" max="26" width="11.42578125" style="23"/>
    <col min="27" max="27" width="11.42578125" style="91"/>
    <col min="28" max="28" width="11.42578125" style="95"/>
    <col min="29" max="29" width="13.42578125" style="100" customWidth="1"/>
    <col min="30" max="16384" width="11.42578125" style="18"/>
  </cols>
  <sheetData>
    <row r="1" spans="1:29" s="88" customFormat="1" ht="15" x14ac:dyDescent="0.25">
      <c r="A1" s="105">
        <v>1</v>
      </c>
      <c r="B1" s="86">
        <v>1</v>
      </c>
      <c r="C1" s="87">
        <v>2</v>
      </c>
      <c r="D1" s="86">
        <v>3</v>
      </c>
      <c r="E1" s="87">
        <v>4</v>
      </c>
      <c r="F1" s="86">
        <v>5</v>
      </c>
      <c r="G1" s="87">
        <v>6</v>
      </c>
      <c r="H1" s="86">
        <v>7</v>
      </c>
      <c r="I1" s="87">
        <v>8</v>
      </c>
      <c r="J1" s="86">
        <v>9</v>
      </c>
      <c r="K1" s="87">
        <v>10</v>
      </c>
      <c r="L1" s="86">
        <v>11</v>
      </c>
      <c r="M1" s="87">
        <v>12</v>
      </c>
      <c r="N1" s="86">
        <v>13</v>
      </c>
      <c r="O1" s="87">
        <v>14</v>
      </c>
      <c r="P1" s="86">
        <v>15</v>
      </c>
      <c r="Q1" s="87">
        <v>16</v>
      </c>
      <c r="R1" s="86">
        <v>17</v>
      </c>
      <c r="S1" s="87">
        <v>18</v>
      </c>
      <c r="T1" s="86">
        <v>19</v>
      </c>
      <c r="U1" s="87">
        <v>20</v>
      </c>
      <c r="V1" s="86">
        <v>21</v>
      </c>
      <c r="W1" s="87">
        <v>22</v>
      </c>
      <c r="X1" s="86">
        <v>23</v>
      </c>
      <c r="Y1" s="87">
        <v>24</v>
      </c>
      <c r="Z1" s="86">
        <v>25</v>
      </c>
      <c r="AA1" s="94">
        <v>26</v>
      </c>
      <c r="AB1" s="104">
        <v>27</v>
      </c>
      <c r="AC1" s="99">
        <v>28</v>
      </c>
    </row>
    <row r="2" spans="1:29" x14ac:dyDescent="0.2">
      <c r="C2" s="19"/>
      <c r="I2" s="17"/>
      <c r="O2" s="17"/>
    </row>
    <row r="3" spans="1:29" s="19" customFormat="1" ht="18" customHeight="1" x14ac:dyDescent="0.2">
      <c r="A3" s="81" t="s">
        <v>5</v>
      </c>
      <c r="B3" s="81" t="s">
        <v>1359</v>
      </c>
      <c r="C3" s="79" t="s">
        <v>89</v>
      </c>
      <c r="D3" s="79" t="s">
        <v>90</v>
      </c>
      <c r="E3" s="79" t="s">
        <v>91</v>
      </c>
      <c r="F3" s="79" t="s">
        <v>92</v>
      </c>
      <c r="G3" s="79" t="s">
        <v>93</v>
      </c>
      <c r="H3" s="80" t="s">
        <v>399</v>
      </c>
      <c r="I3" s="79" t="s">
        <v>94</v>
      </c>
      <c r="J3" s="79" t="s">
        <v>95</v>
      </c>
      <c r="K3" s="79" t="s">
        <v>96</v>
      </c>
      <c r="L3" s="79" t="s">
        <v>686</v>
      </c>
      <c r="M3" s="79" t="s">
        <v>97</v>
      </c>
      <c r="N3" s="79" t="s">
        <v>333</v>
      </c>
      <c r="O3" s="79" t="s">
        <v>98</v>
      </c>
      <c r="P3" s="79" t="s">
        <v>1112</v>
      </c>
      <c r="Q3" s="79" t="s">
        <v>99</v>
      </c>
      <c r="R3" s="79" t="s">
        <v>7</v>
      </c>
      <c r="S3" s="79" t="s">
        <v>21</v>
      </c>
      <c r="T3" s="79" t="s">
        <v>100</v>
      </c>
      <c r="U3" s="79" t="s">
        <v>29</v>
      </c>
      <c r="V3" s="79" t="s">
        <v>334</v>
      </c>
      <c r="W3" s="83" t="s">
        <v>1339</v>
      </c>
      <c r="X3" s="84" t="s">
        <v>661</v>
      </c>
      <c r="Y3" s="84" t="s">
        <v>662</v>
      </c>
      <c r="Z3" s="83" t="s">
        <v>663</v>
      </c>
      <c r="AA3" s="90" t="s">
        <v>1340</v>
      </c>
      <c r="AB3" s="96" t="s">
        <v>1083</v>
      </c>
      <c r="AC3" s="103" t="s">
        <v>1341</v>
      </c>
    </row>
    <row r="4" spans="1:29" s="57" customFormat="1" ht="18" customHeight="1" x14ac:dyDescent="0.2">
      <c r="A4" s="67" t="s">
        <v>1383</v>
      </c>
      <c r="B4" s="67">
        <v>48787584</v>
      </c>
      <c r="C4" s="61" t="s">
        <v>105</v>
      </c>
      <c r="D4" s="62" t="s">
        <v>1305</v>
      </c>
      <c r="E4" s="63" t="s">
        <v>106</v>
      </c>
      <c r="F4" s="62">
        <v>998269854</v>
      </c>
      <c r="G4" s="62" t="s">
        <v>328</v>
      </c>
      <c r="H4" s="67" t="s">
        <v>1178</v>
      </c>
      <c r="I4" s="64" t="s">
        <v>1174</v>
      </c>
      <c r="J4" s="62" t="s">
        <v>1121</v>
      </c>
      <c r="K4" s="62" t="s">
        <v>1036</v>
      </c>
      <c r="L4" s="62">
        <v>4</v>
      </c>
      <c r="M4" s="62">
        <v>0</v>
      </c>
      <c r="N4" s="62" t="s">
        <v>453</v>
      </c>
      <c r="O4" s="64"/>
      <c r="P4" s="62"/>
      <c r="Q4" s="62" t="s">
        <v>836</v>
      </c>
      <c r="R4" s="62"/>
      <c r="S4" s="62" t="s">
        <v>112</v>
      </c>
      <c r="T4" s="62" t="s">
        <v>454</v>
      </c>
      <c r="U4" s="67" t="s">
        <v>452</v>
      </c>
      <c r="V4" s="67" t="s">
        <v>455</v>
      </c>
      <c r="W4" s="82"/>
      <c r="X4" s="89">
        <v>505</v>
      </c>
      <c r="Y4" s="89">
        <v>438</v>
      </c>
      <c r="Z4" s="89">
        <f>SUM(X4-Y4)</f>
        <v>67</v>
      </c>
      <c r="AA4" s="92">
        <v>0.88706365503080087</v>
      </c>
      <c r="AB4" s="97">
        <v>11150620</v>
      </c>
      <c r="AC4" s="101">
        <v>781.99999999999989</v>
      </c>
    </row>
    <row r="5" spans="1:29" s="57" customFormat="1" ht="18" customHeight="1" x14ac:dyDescent="0.2">
      <c r="A5" s="67" t="s">
        <v>1377</v>
      </c>
      <c r="B5" s="67">
        <v>50015629</v>
      </c>
      <c r="C5" s="61" t="s">
        <v>305</v>
      </c>
      <c r="D5" s="62" t="s">
        <v>1306</v>
      </c>
      <c r="E5" s="63" t="s">
        <v>306</v>
      </c>
      <c r="F5" s="62" t="s">
        <v>634</v>
      </c>
      <c r="G5" s="62" t="s">
        <v>286</v>
      </c>
      <c r="H5" s="67"/>
      <c r="I5" s="64"/>
      <c r="J5" s="62" t="s">
        <v>1122</v>
      </c>
      <c r="K5" s="62" t="s">
        <v>1036</v>
      </c>
      <c r="L5" s="62">
        <v>3</v>
      </c>
      <c r="M5" s="62">
        <v>0</v>
      </c>
      <c r="N5" s="62" t="s">
        <v>757</v>
      </c>
      <c r="O5" s="64"/>
      <c r="P5" s="75">
        <v>0.05</v>
      </c>
      <c r="Q5" s="62" t="s">
        <v>844</v>
      </c>
      <c r="R5" s="62" t="s">
        <v>758</v>
      </c>
      <c r="S5" s="62" t="s">
        <v>547</v>
      </c>
      <c r="T5" s="62" t="s">
        <v>548</v>
      </c>
      <c r="U5" s="67" t="s">
        <v>549</v>
      </c>
      <c r="V5" s="67"/>
      <c r="W5" s="65"/>
      <c r="X5" s="89">
        <v>0</v>
      </c>
      <c r="Y5" s="66">
        <v>0</v>
      </c>
      <c r="Z5" s="89">
        <f t="shared" ref="Z5:Z68" si="0">SUM(X5-Y5)</f>
        <v>0</v>
      </c>
      <c r="AA5" s="93">
        <v>0</v>
      </c>
      <c r="AB5" s="98">
        <v>0</v>
      </c>
      <c r="AC5" s="102">
        <v>0</v>
      </c>
    </row>
    <row r="6" spans="1:29" s="57" customFormat="1" ht="18" customHeight="1" x14ac:dyDescent="0.2">
      <c r="A6" s="67" t="s">
        <v>1384</v>
      </c>
      <c r="B6" s="67">
        <v>53849008</v>
      </c>
      <c r="C6" s="61" t="s">
        <v>242</v>
      </c>
      <c r="D6" s="62" t="s">
        <v>338</v>
      </c>
      <c r="E6" s="63" t="s">
        <v>901</v>
      </c>
      <c r="F6" s="62">
        <v>966322618</v>
      </c>
      <c r="G6" s="62" t="s">
        <v>328</v>
      </c>
      <c r="H6" s="67"/>
      <c r="I6" s="64"/>
      <c r="J6" s="62" t="s">
        <v>339</v>
      </c>
      <c r="K6" s="62" t="s">
        <v>1036</v>
      </c>
      <c r="L6" s="62">
        <v>4</v>
      </c>
      <c r="M6" s="62">
        <v>0</v>
      </c>
      <c r="N6" s="62" t="s">
        <v>340</v>
      </c>
      <c r="O6" s="64"/>
      <c r="P6" s="62"/>
      <c r="Q6" s="62" t="s">
        <v>836</v>
      </c>
      <c r="R6" s="62"/>
      <c r="S6" s="62" t="s">
        <v>341</v>
      </c>
      <c r="T6" s="62" t="s">
        <v>342</v>
      </c>
      <c r="U6" s="67" t="s">
        <v>338</v>
      </c>
      <c r="V6" s="67"/>
      <c r="W6" s="65"/>
      <c r="X6" s="89">
        <v>0</v>
      </c>
      <c r="Y6" s="66">
        <v>0</v>
      </c>
      <c r="Z6" s="89">
        <f t="shared" si="0"/>
        <v>0</v>
      </c>
      <c r="AA6" s="93">
        <v>0</v>
      </c>
      <c r="AB6" s="98">
        <v>0</v>
      </c>
      <c r="AC6" s="102">
        <v>0</v>
      </c>
    </row>
    <row r="7" spans="1:29" s="57" customFormat="1" ht="18" customHeight="1" x14ac:dyDescent="0.2">
      <c r="A7" s="67" t="s">
        <v>1385</v>
      </c>
      <c r="B7" s="67">
        <v>59133659</v>
      </c>
      <c r="C7" s="61" t="s">
        <v>315</v>
      </c>
      <c r="D7" s="62" t="s">
        <v>586</v>
      </c>
      <c r="E7" s="63" t="s">
        <v>316</v>
      </c>
      <c r="F7" s="62" t="s">
        <v>1239</v>
      </c>
      <c r="G7" s="62" t="s">
        <v>286</v>
      </c>
      <c r="H7" s="67" t="s">
        <v>1179</v>
      </c>
      <c r="I7" s="64"/>
      <c r="J7" s="62" t="s">
        <v>317</v>
      </c>
      <c r="K7" s="62" t="s">
        <v>1113</v>
      </c>
      <c r="L7" s="62">
        <v>3</v>
      </c>
      <c r="M7" s="62">
        <v>0</v>
      </c>
      <c r="N7" s="62" t="s">
        <v>552</v>
      </c>
      <c r="O7" s="64"/>
      <c r="P7" s="62"/>
      <c r="Q7" s="62" t="s">
        <v>937</v>
      </c>
      <c r="R7" s="62"/>
      <c r="S7" s="62" t="s">
        <v>539</v>
      </c>
      <c r="T7" s="62" t="s">
        <v>559</v>
      </c>
      <c r="U7" s="67" t="str">
        <f>D7</f>
        <v>OVALLE</v>
      </c>
      <c r="V7" s="67"/>
      <c r="W7" s="65"/>
      <c r="X7" s="89">
        <v>118</v>
      </c>
      <c r="Y7" s="66">
        <v>107</v>
      </c>
      <c r="Z7" s="89">
        <f t="shared" si="0"/>
        <v>11</v>
      </c>
      <c r="AA7" s="93">
        <v>0.63736263736263732</v>
      </c>
      <c r="AB7" s="98">
        <v>2688930</v>
      </c>
      <c r="AC7" s="102">
        <v>186.29999999999998</v>
      </c>
    </row>
    <row r="8" spans="1:29" s="57" customFormat="1" ht="18" customHeight="1" x14ac:dyDescent="0.2">
      <c r="A8" s="67" t="s">
        <v>1386</v>
      </c>
      <c r="B8" s="67">
        <v>60311234</v>
      </c>
      <c r="C8" s="61" t="s">
        <v>262</v>
      </c>
      <c r="D8" s="62" t="s">
        <v>346</v>
      </c>
      <c r="E8" s="63" t="s">
        <v>263</v>
      </c>
      <c r="F8" s="62">
        <v>961895384</v>
      </c>
      <c r="G8" s="62" t="s">
        <v>725</v>
      </c>
      <c r="H8" s="67" t="s">
        <v>1180</v>
      </c>
      <c r="I8" s="64"/>
      <c r="J8" s="62" t="s">
        <v>350</v>
      </c>
      <c r="K8" s="62" t="s">
        <v>140</v>
      </c>
      <c r="L8" s="62">
        <v>3</v>
      </c>
      <c r="M8" s="62">
        <v>0</v>
      </c>
      <c r="N8" s="62" t="s">
        <v>343</v>
      </c>
      <c r="O8" s="64"/>
      <c r="P8" s="62"/>
      <c r="Q8" s="62" t="s">
        <v>815</v>
      </c>
      <c r="R8" s="62"/>
      <c r="S8" s="62" t="s">
        <v>344</v>
      </c>
      <c r="T8" s="62" t="s">
        <v>345</v>
      </c>
      <c r="U8" s="67" t="s">
        <v>346</v>
      </c>
      <c r="V8" s="67"/>
      <c r="W8" s="65"/>
      <c r="X8" s="89">
        <v>62</v>
      </c>
      <c r="Y8" s="66">
        <v>55</v>
      </c>
      <c r="Z8" s="89">
        <f t="shared" si="0"/>
        <v>7</v>
      </c>
      <c r="AA8" s="93">
        <v>0.97777777777777775</v>
      </c>
      <c r="AB8" s="98">
        <v>1399450</v>
      </c>
      <c r="AC8" s="102">
        <v>51.749999999999993</v>
      </c>
    </row>
    <row r="9" spans="1:29" s="57" customFormat="1" ht="18" customHeight="1" x14ac:dyDescent="0.2">
      <c r="A9" s="67" t="s">
        <v>1387</v>
      </c>
      <c r="B9" s="67">
        <v>63319104</v>
      </c>
      <c r="C9" s="61" t="s">
        <v>290</v>
      </c>
      <c r="D9" s="62" t="s">
        <v>1307</v>
      </c>
      <c r="E9" s="63" t="s">
        <v>291</v>
      </c>
      <c r="F9" s="62" t="s">
        <v>1240</v>
      </c>
      <c r="G9" s="62" t="s">
        <v>286</v>
      </c>
      <c r="H9" s="67" t="s">
        <v>1181</v>
      </c>
      <c r="I9" s="64"/>
      <c r="J9" s="62" t="s">
        <v>1123</v>
      </c>
      <c r="K9" s="62" t="s">
        <v>1036</v>
      </c>
      <c r="L9" s="62">
        <v>3</v>
      </c>
      <c r="M9" s="62">
        <v>0</v>
      </c>
      <c r="N9" s="62" t="s">
        <v>724</v>
      </c>
      <c r="O9" s="64"/>
      <c r="P9" s="62"/>
      <c r="Q9" s="62" t="s">
        <v>937</v>
      </c>
      <c r="R9" s="62"/>
      <c r="S9" s="62" t="s">
        <v>539</v>
      </c>
      <c r="T9" s="62"/>
      <c r="U9" s="67" t="s">
        <v>401</v>
      </c>
      <c r="V9" s="67"/>
      <c r="W9" s="65"/>
      <c r="X9" s="89">
        <v>71</v>
      </c>
      <c r="Y9" s="66">
        <v>65</v>
      </c>
      <c r="Z9" s="89">
        <f t="shared" si="0"/>
        <v>6</v>
      </c>
      <c r="AA9" s="93">
        <v>0</v>
      </c>
      <c r="AB9" s="98">
        <v>1665350</v>
      </c>
      <c r="AC9" s="102">
        <v>26.45</v>
      </c>
    </row>
    <row r="10" spans="1:29" s="57" customFormat="1" ht="18" customHeight="1" x14ac:dyDescent="0.2">
      <c r="A10" s="67" t="s">
        <v>1388</v>
      </c>
      <c r="B10" s="67">
        <v>65899043</v>
      </c>
      <c r="C10" s="61" t="s">
        <v>260</v>
      </c>
      <c r="D10" s="62" t="s">
        <v>349</v>
      </c>
      <c r="E10" s="63" t="s">
        <v>261</v>
      </c>
      <c r="F10" s="62">
        <v>985067217</v>
      </c>
      <c r="G10" s="62" t="s">
        <v>328</v>
      </c>
      <c r="H10" s="67" t="s">
        <v>1182</v>
      </c>
      <c r="I10" s="64"/>
      <c r="J10" s="62" t="s">
        <v>1124</v>
      </c>
      <c r="K10" s="62"/>
      <c r="L10" s="62">
        <v>4</v>
      </c>
      <c r="M10" s="62">
        <v>0</v>
      </c>
      <c r="N10" s="62" t="s">
        <v>347</v>
      </c>
      <c r="O10" s="64"/>
      <c r="P10" s="62"/>
      <c r="Q10" s="62" t="s">
        <v>836</v>
      </c>
      <c r="R10" s="62"/>
      <c r="S10" s="62" t="s">
        <v>344</v>
      </c>
      <c r="T10" s="62" t="s">
        <v>348</v>
      </c>
      <c r="U10" s="67" t="s">
        <v>349</v>
      </c>
      <c r="V10" s="67"/>
      <c r="W10" s="65"/>
      <c r="X10" s="89">
        <v>0</v>
      </c>
      <c r="Y10" s="66">
        <v>0</v>
      </c>
      <c r="Z10" s="89">
        <f t="shared" si="0"/>
        <v>0</v>
      </c>
      <c r="AA10" s="93">
        <v>0</v>
      </c>
      <c r="AB10" s="98">
        <v>0</v>
      </c>
      <c r="AC10" s="102">
        <v>0</v>
      </c>
    </row>
    <row r="11" spans="1:29" s="57" customFormat="1" ht="18" customHeight="1" x14ac:dyDescent="0.2">
      <c r="A11" s="67" t="s">
        <v>1389</v>
      </c>
      <c r="B11" s="67">
        <v>67753240</v>
      </c>
      <c r="C11" s="61" t="s">
        <v>230</v>
      </c>
      <c r="D11" s="62" t="s">
        <v>231</v>
      </c>
      <c r="E11" s="63" t="s">
        <v>232</v>
      </c>
      <c r="F11" s="62" t="s">
        <v>1241</v>
      </c>
      <c r="G11" s="62" t="s">
        <v>328</v>
      </c>
      <c r="H11" s="67" t="s">
        <v>1183</v>
      </c>
      <c r="I11" s="64" t="s">
        <v>233</v>
      </c>
      <c r="J11" s="62" t="s">
        <v>234</v>
      </c>
      <c r="K11" s="62"/>
      <c r="L11" s="62">
        <v>4</v>
      </c>
      <c r="M11" s="62"/>
      <c r="N11" s="62" t="s">
        <v>449</v>
      </c>
      <c r="O11" s="64"/>
      <c r="P11" s="62"/>
      <c r="Q11" s="62" t="s">
        <v>836</v>
      </c>
      <c r="R11" s="62"/>
      <c r="S11" s="62" t="s">
        <v>344</v>
      </c>
      <c r="T11" s="62" t="s">
        <v>450</v>
      </c>
      <c r="U11" s="67" t="s">
        <v>451</v>
      </c>
      <c r="V11" s="67"/>
      <c r="W11" s="65"/>
      <c r="X11" s="89">
        <v>0</v>
      </c>
      <c r="Y11" s="66">
        <v>0</v>
      </c>
      <c r="Z11" s="89">
        <f t="shared" si="0"/>
        <v>0</v>
      </c>
      <c r="AA11" s="93">
        <v>0</v>
      </c>
      <c r="AB11" s="98">
        <v>0</v>
      </c>
      <c r="AC11" s="102">
        <v>0</v>
      </c>
    </row>
    <row r="12" spans="1:29" s="57" customFormat="1" ht="18" customHeight="1" x14ac:dyDescent="0.2">
      <c r="A12" s="67" t="s">
        <v>1390</v>
      </c>
      <c r="B12" s="67">
        <v>67999673</v>
      </c>
      <c r="C12" s="61" t="s">
        <v>215</v>
      </c>
      <c r="D12" s="62" t="s">
        <v>1308</v>
      </c>
      <c r="E12" s="63" t="s">
        <v>902</v>
      </c>
      <c r="F12" s="62">
        <v>91286053</v>
      </c>
      <c r="G12" s="62" t="s">
        <v>725</v>
      </c>
      <c r="H12" s="67" t="s">
        <v>1184</v>
      </c>
      <c r="I12" s="64"/>
      <c r="J12" s="62" t="s">
        <v>216</v>
      </c>
      <c r="K12" s="62"/>
      <c r="L12" s="62">
        <v>3</v>
      </c>
      <c r="M12" s="62">
        <v>0</v>
      </c>
      <c r="N12" s="62" t="s">
        <v>340</v>
      </c>
      <c r="O12" s="64"/>
      <c r="P12" s="62"/>
      <c r="Q12" s="62" t="s">
        <v>836</v>
      </c>
      <c r="R12" s="62"/>
      <c r="S12" s="62" t="s">
        <v>344</v>
      </c>
      <c r="T12" s="62" t="s">
        <v>436</v>
      </c>
      <c r="U12" s="67" t="s">
        <v>437</v>
      </c>
      <c r="V12" s="67"/>
      <c r="W12" s="65"/>
      <c r="X12" s="89">
        <v>36</v>
      </c>
      <c r="Y12" s="66">
        <v>36</v>
      </c>
      <c r="Z12" s="89">
        <f t="shared" si="0"/>
        <v>0</v>
      </c>
      <c r="AA12" s="93">
        <v>0.97777777777777775</v>
      </c>
      <c r="AB12" s="98">
        <v>917640</v>
      </c>
      <c r="AC12" s="102">
        <v>216.2</v>
      </c>
    </row>
    <row r="13" spans="1:29" s="57" customFormat="1" ht="18" customHeight="1" x14ac:dyDescent="0.2">
      <c r="A13" s="67" t="s">
        <v>667</v>
      </c>
      <c r="B13" s="67">
        <v>769654313</v>
      </c>
      <c r="C13" s="61" t="s">
        <v>666</v>
      </c>
      <c r="D13" s="62" t="s">
        <v>1309</v>
      </c>
      <c r="E13" s="63" t="s">
        <v>127</v>
      </c>
      <c r="F13" s="62">
        <v>991959818</v>
      </c>
      <c r="G13" s="62" t="s">
        <v>328</v>
      </c>
      <c r="H13" s="67" t="s">
        <v>1185</v>
      </c>
      <c r="I13" s="64"/>
      <c r="J13" s="62" t="s">
        <v>1125</v>
      </c>
      <c r="K13" s="62" t="s">
        <v>366</v>
      </c>
      <c r="L13" s="62">
        <v>1</v>
      </c>
      <c r="M13" s="62">
        <v>0</v>
      </c>
      <c r="N13" s="62" t="s">
        <v>351</v>
      </c>
      <c r="O13" s="64"/>
      <c r="P13" s="75"/>
      <c r="Q13" s="62" t="s">
        <v>944</v>
      </c>
      <c r="R13" s="62">
        <v>99594046</v>
      </c>
      <c r="S13" s="62" t="s">
        <v>344</v>
      </c>
      <c r="T13" s="62" t="s">
        <v>469</v>
      </c>
      <c r="U13" s="67" t="s">
        <v>470</v>
      </c>
      <c r="V13" s="67" t="s">
        <v>128</v>
      </c>
      <c r="W13" s="65"/>
      <c r="X13" s="89">
        <v>704</v>
      </c>
      <c r="Y13" s="66">
        <v>555</v>
      </c>
      <c r="Z13" s="89">
        <f t="shared" si="0"/>
        <v>149</v>
      </c>
      <c r="AA13" s="93">
        <v>0.70772442588726514</v>
      </c>
      <c r="AB13" s="98">
        <v>14347450</v>
      </c>
      <c r="AC13" s="102">
        <v>635.94999999999993</v>
      </c>
    </row>
    <row r="14" spans="1:29" s="57" customFormat="1" ht="18" customHeight="1" x14ac:dyDescent="0.2">
      <c r="A14" s="67" t="s">
        <v>1391</v>
      </c>
      <c r="B14" s="67">
        <v>70968371</v>
      </c>
      <c r="C14" s="61" t="s">
        <v>296</v>
      </c>
      <c r="D14" s="62" t="s">
        <v>1310</v>
      </c>
      <c r="E14" s="63" t="s">
        <v>297</v>
      </c>
      <c r="F14" s="62" t="s">
        <v>1242</v>
      </c>
      <c r="G14" s="62" t="s">
        <v>286</v>
      </c>
      <c r="H14" s="77" t="s">
        <v>733</v>
      </c>
      <c r="I14" s="64"/>
      <c r="J14" s="62" t="s">
        <v>298</v>
      </c>
      <c r="K14" s="62" t="s">
        <v>1036</v>
      </c>
      <c r="L14" s="62">
        <v>1</v>
      </c>
      <c r="M14" s="62">
        <v>0</v>
      </c>
      <c r="N14" s="62" t="s">
        <v>340</v>
      </c>
      <c r="O14" s="64"/>
      <c r="P14" s="62"/>
      <c r="Q14" s="62" t="s">
        <v>937</v>
      </c>
      <c r="R14" s="62"/>
      <c r="S14" s="62" t="s">
        <v>353</v>
      </c>
      <c r="T14" s="62" t="s">
        <v>545</v>
      </c>
      <c r="U14" s="67" t="s">
        <v>544</v>
      </c>
      <c r="V14" s="67"/>
      <c r="W14" s="65"/>
      <c r="X14" s="89">
        <v>130</v>
      </c>
      <c r="Y14" s="66">
        <v>125</v>
      </c>
      <c r="Z14" s="89">
        <f t="shared" si="0"/>
        <v>5</v>
      </c>
      <c r="AA14" s="93">
        <v>0.88983050847457623</v>
      </c>
      <c r="AB14" s="98">
        <v>3238750</v>
      </c>
      <c r="AC14" s="102">
        <v>143.75</v>
      </c>
    </row>
    <row r="15" spans="1:29" s="57" customFormat="1" ht="18" customHeight="1" x14ac:dyDescent="0.2">
      <c r="A15" s="67" t="s">
        <v>1392</v>
      </c>
      <c r="B15" s="67">
        <v>75620330</v>
      </c>
      <c r="C15" s="61" t="s">
        <v>591</v>
      </c>
      <c r="D15" s="62" t="s">
        <v>211</v>
      </c>
      <c r="E15" s="63" t="s">
        <v>570</v>
      </c>
      <c r="F15" s="62" t="s">
        <v>596</v>
      </c>
      <c r="G15" s="62" t="s">
        <v>633</v>
      </c>
      <c r="H15" s="76" t="s">
        <v>597</v>
      </c>
      <c r="I15" s="64"/>
      <c r="J15" s="62" t="s">
        <v>210</v>
      </c>
      <c r="K15" s="62"/>
      <c r="L15" s="62"/>
      <c r="M15" s="62"/>
      <c r="N15" s="62" t="s">
        <v>425</v>
      </c>
      <c r="O15" s="64"/>
      <c r="P15" s="62"/>
      <c r="Q15" s="62" t="s">
        <v>836</v>
      </c>
      <c r="R15" s="62"/>
      <c r="S15" s="62"/>
      <c r="T15" s="62" t="s">
        <v>592</v>
      </c>
      <c r="U15" s="67" t="s">
        <v>318</v>
      </c>
      <c r="V15" s="67"/>
      <c r="W15" s="65"/>
      <c r="X15" s="89">
        <v>0</v>
      </c>
      <c r="Y15" s="66">
        <v>0</v>
      </c>
      <c r="Z15" s="89">
        <f t="shared" si="0"/>
        <v>0</v>
      </c>
      <c r="AA15" s="93">
        <v>0</v>
      </c>
      <c r="AB15" s="98">
        <v>0</v>
      </c>
      <c r="AC15" s="102">
        <v>0</v>
      </c>
    </row>
    <row r="16" spans="1:29" s="58" customFormat="1" ht="18" customHeight="1" x14ac:dyDescent="0.2">
      <c r="A16" s="67" t="s">
        <v>1393</v>
      </c>
      <c r="B16" s="67">
        <v>76348294</v>
      </c>
      <c r="C16" s="61" t="s">
        <v>119</v>
      </c>
      <c r="D16" s="62" t="s">
        <v>330</v>
      </c>
      <c r="E16" s="63" t="s">
        <v>120</v>
      </c>
      <c r="F16" s="62" t="s">
        <v>587</v>
      </c>
      <c r="G16" s="62" t="s">
        <v>328</v>
      </c>
      <c r="H16" s="76" t="s">
        <v>588</v>
      </c>
      <c r="I16" s="64"/>
      <c r="J16" s="62" t="s">
        <v>589</v>
      </c>
      <c r="K16" s="62"/>
      <c r="L16" s="62">
        <v>3</v>
      </c>
      <c r="M16" s="62"/>
      <c r="N16" s="62" t="s">
        <v>118</v>
      </c>
      <c r="O16" s="64"/>
      <c r="P16" s="62">
        <v>0</v>
      </c>
      <c r="Q16" s="62" t="s">
        <v>815</v>
      </c>
      <c r="R16" s="62" t="s">
        <v>1110</v>
      </c>
      <c r="S16" s="62" t="s">
        <v>379</v>
      </c>
      <c r="T16" s="62" t="s">
        <v>462</v>
      </c>
      <c r="U16" s="67" t="s">
        <v>330</v>
      </c>
      <c r="V16" s="67"/>
      <c r="W16" s="65"/>
      <c r="X16" s="89">
        <v>259</v>
      </c>
      <c r="Y16" s="66">
        <v>221</v>
      </c>
      <c r="Z16" s="89">
        <f t="shared" si="0"/>
        <v>38</v>
      </c>
      <c r="AA16" s="93">
        <v>0.73799126637554591</v>
      </c>
      <c r="AB16" s="98">
        <v>5596790</v>
      </c>
      <c r="AC16" s="102">
        <v>248.39999999999998</v>
      </c>
    </row>
    <row r="17" spans="1:29" s="58" customFormat="1" ht="18" customHeight="1" x14ac:dyDescent="0.2">
      <c r="A17" s="67" t="s">
        <v>1394</v>
      </c>
      <c r="B17" s="67">
        <v>76754128</v>
      </c>
      <c r="C17" s="61" t="s">
        <v>239</v>
      </c>
      <c r="D17" s="62" t="s">
        <v>1311</v>
      </c>
      <c r="E17" s="63" t="s">
        <v>240</v>
      </c>
      <c r="F17" s="62" t="s">
        <v>1243</v>
      </c>
      <c r="G17" s="62" t="s">
        <v>328</v>
      </c>
      <c r="H17" s="76" t="s">
        <v>477</v>
      </c>
      <c r="I17" s="64" t="s">
        <v>241</v>
      </c>
      <c r="J17" s="62" t="s">
        <v>1126</v>
      </c>
      <c r="K17" s="62" t="s">
        <v>103</v>
      </c>
      <c r="L17" s="62">
        <v>3</v>
      </c>
      <c r="M17" s="62">
        <v>0</v>
      </c>
      <c r="N17" s="62" t="s">
        <v>351</v>
      </c>
      <c r="O17" s="64"/>
      <c r="P17" s="62"/>
      <c r="Q17" s="62" t="s">
        <v>836</v>
      </c>
      <c r="R17" s="62"/>
      <c r="S17" s="62" t="s">
        <v>344</v>
      </c>
      <c r="T17" s="62" t="s">
        <v>478</v>
      </c>
      <c r="U17" s="67" t="s">
        <v>352</v>
      </c>
      <c r="V17" s="67" t="s">
        <v>101</v>
      </c>
      <c r="W17" s="65"/>
      <c r="X17" s="89">
        <v>0</v>
      </c>
      <c r="Y17" s="66">
        <v>0</v>
      </c>
      <c r="Z17" s="89">
        <f t="shared" si="0"/>
        <v>0</v>
      </c>
      <c r="AA17" s="93">
        <v>0</v>
      </c>
      <c r="AB17" s="98">
        <v>0</v>
      </c>
      <c r="AC17" s="102">
        <v>0</v>
      </c>
    </row>
    <row r="18" spans="1:29" s="58" customFormat="1" ht="18" customHeight="1" x14ac:dyDescent="0.2">
      <c r="A18" s="67" t="s">
        <v>1395</v>
      </c>
      <c r="B18" s="67">
        <v>82596623</v>
      </c>
      <c r="C18" s="61" t="s">
        <v>311</v>
      </c>
      <c r="D18" s="62" t="s">
        <v>738</v>
      </c>
      <c r="E18" s="63" t="s">
        <v>312</v>
      </c>
      <c r="F18" s="62" t="s">
        <v>1244</v>
      </c>
      <c r="G18" s="62" t="s">
        <v>286</v>
      </c>
      <c r="H18" s="67" t="s">
        <v>1186</v>
      </c>
      <c r="I18" s="64"/>
      <c r="J18" s="62" t="s">
        <v>311</v>
      </c>
      <c r="K18" s="62" t="s">
        <v>103</v>
      </c>
      <c r="L18" s="62">
        <v>3</v>
      </c>
      <c r="M18" s="62">
        <v>0</v>
      </c>
      <c r="N18" s="62" t="s">
        <v>557</v>
      </c>
      <c r="O18" s="64"/>
      <c r="P18" s="62"/>
      <c r="Q18" s="62" t="s">
        <v>937</v>
      </c>
      <c r="R18" s="62"/>
      <c r="S18" s="62" t="s">
        <v>353</v>
      </c>
      <c r="T18" s="62" t="s">
        <v>558</v>
      </c>
      <c r="U18" s="67" t="str">
        <f>D18</f>
        <v>LA SERENA</v>
      </c>
      <c r="V18" s="67"/>
      <c r="W18" s="65"/>
      <c r="X18" s="89">
        <v>0</v>
      </c>
      <c r="Y18" s="66">
        <v>0</v>
      </c>
      <c r="Z18" s="89">
        <f t="shared" si="0"/>
        <v>0</v>
      </c>
      <c r="AA18" s="93">
        <v>0</v>
      </c>
      <c r="AB18" s="98">
        <v>0</v>
      </c>
      <c r="AC18" s="102">
        <v>48.3</v>
      </c>
    </row>
    <row r="19" spans="1:29" s="58" customFormat="1" ht="18" customHeight="1" x14ac:dyDescent="0.2">
      <c r="A19" s="67" t="s">
        <v>1396</v>
      </c>
      <c r="B19" s="67">
        <v>86117789</v>
      </c>
      <c r="C19" s="61" t="s">
        <v>162</v>
      </c>
      <c r="D19" s="62" t="s">
        <v>1312</v>
      </c>
      <c r="E19" s="63" t="s">
        <v>163</v>
      </c>
      <c r="F19" s="62" t="s">
        <v>1245</v>
      </c>
      <c r="G19" s="62" t="s">
        <v>725</v>
      </c>
      <c r="H19" s="76" t="s">
        <v>520</v>
      </c>
      <c r="I19" s="64"/>
      <c r="J19" s="62" t="s">
        <v>521</v>
      </c>
      <c r="K19" s="62" t="s">
        <v>366</v>
      </c>
      <c r="L19" s="62">
        <v>1</v>
      </c>
      <c r="M19" s="62">
        <v>0</v>
      </c>
      <c r="N19" s="62" t="s">
        <v>385</v>
      </c>
      <c r="O19" s="64"/>
      <c r="P19" s="62"/>
      <c r="Q19" s="62" t="s">
        <v>836</v>
      </c>
      <c r="R19" s="62"/>
      <c r="S19" s="62" t="s">
        <v>112</v>
      </c>
      <c r="T19" s="62" t="s">
        <v>522</v>
      </c>
      <c r="U19" s="67" t="s">
        <v>523</v>
      </c>
      <c r="V19" s="67" t="s">
        <v>102</v>
      </c>
      <c r="W19" s="65"/>
      <c r="X19" s="89">
        <v>0</v>
      </c>
      <c r="Y19" s="66">
        <v>0</v>
      </c>
      <c r="Z19" s="89">
        <f t="shared" si="0"/>
        <v>0</v>
      </c>
      <c r="AA19" s="93">
        <v>0</v>
      </c>
      <c r="AB19" s="98">
        <v>0</v>
      </c>
      <c r="AC19" s="102">
        <v>0</v>
      </c>
    </row>
    <row r="20" spans="1:29" s="58" customFormat="1" ht="18" customHeight="1" x14ac:dyDescent="0.2">
      <c r="A20" s="67" t="s">
        <v>1397</v>
      </c>
      <c r="B20" s="67">
        <v>86598124</v>
      </c>
      <c r="C20" s="61" t="s">
        <v>355</v>
      </c>
      <c r="D20" s="62" t="s">
        <v>1313</v>
      </c>
      <c r="E20" s="63" t="s">
        <v>274</v>
      </c>
      <c r="F20" s="62" t="s">
        <v>275</v>
      </c>
      <c r="G20" s="62" t="s">
        <v>328</v>
      </c>
      <c r="H20" s="67" t="s">
        <v>1187</v>
      </c>
      <c r="I20" s="64"/>
      <c r="J20" s="62" t="s">
        <v>276</v>
      </c>
      <c r="K20" s="62" t="s">
        <v>1114</v>
      </c>
      <c r="L20" s="62">
        <v>3</v>
      </c>
      <c r="M20" s="62">
        <v>0</v>
      </c>
      <c r="N20" s="62" t="s">
        <v>356</v>
      </c>
      <c r="O20" s="64"/>
      <c r="P20" s="62"/>
      <c r="Q20" s="62" t="s">
        <v>836</v>
      </c>
      <c r="R20" s="62"/>
      <c r="S20" s="62" t="s">
        <v>357</v>
      </c>
      <c r="T20" s="62" t="s">
        <v>358</v>
      </c>
      <c r="U20" s="67" t="s">
        <v>359</v>
      </c>
      <c r="V20" s="67" t="s">
        <v>102</v>
      </c>
      <c r="W20" s="65"/>
      <c r="X20" s="89">
        <v>0</v>
      </c>
      <c r="Y20" s="66">
        <v>0</v>
      </c>
      <c r="Z20" s="89">
        <f t="shared" si="0"/>
        <v>0</v>
      </c>
      <c r="AA20" s="93">
        <v>0</v>
      </c>
      <c r="AB20" s="98">
        <v>0</v>
      </c>
      <c r="AC20" s="102">
        <v>0</v>
      </c>
    </row>
    <row r="21" spans="1:29" s="58" customFormat="1" ht="18" customHeight="1" x14ac:dyDescent="0.2">
      <c r="A21" s="67" t="s">
        <v>1398</v>
      </c>
      <c r="B21" s="67">
        <v>86732041</v>
      </c>
      <c r="C21" s="61" t="s">
        <v>287</v>
      </c>
      <c r="D21" s="62" t="s">
        <v>1307</v>
      </c>
      <c r="E21" s="63" t="s">
        <v>540</v>
      </c>
      <c r="F21" s="62" t="s">
        <v>1246</v>
      </c>
      <c r="G21" s="62" t="s">
        <v>286</v>
      </c>
      <c r="H21" s="67" t="s">
        <v>1188</v>
      </c>
      <c r="I21" s="64"/>
      <c r="J21" s="62" t="s">
        <v>1127</v>
      </c>
      <c r="K21" s="62" t="s">
        <v>1036</v>
      </c>
      <c r="L21" s="62">
        <v>1</v>
      </c>
      <c r="M21" s="62">
        <v>0</v>
      </c>
      <c r="N21" s="62" t="s">
        <v>340</v>
      </c>
      <c r="O21" s="64"/>
      <c r="P21" s="75">
        <v>0.05</v>
      </c>
      <c r="Q21" s="62" t="s">
        <v>938</v>
      </c>
      <c r="R21" s="62"/>
      <c r="S21" s="62" t="s">
        <v>541</v>
      </c>
      <c r="T21" s="62"/>
      <c r="U21" s="67" t="s">
        <v>401</v>
      </c>
      <c r="V21" s="67"/>
      <c r="W21" s="65"/>
      <c r="X21" s="89">
        <v>41</v>
      </c>
      <c r="Y21" s="66">
        <v>42</v>
      </c>
      <c r="Z21" s="89">
        <f t="shared" si="0"/>
        <v>-1</v>
      </c>
      <c r="AA21" s="93">
        <v>0.76041666666666663</v>
      </c>
      <c r="AB21" s="98">
        <v>1057580</v>
      </c>
      <c r="AC21" s="102">
        <v>60.949999999999996</v>
      </c>
    </row>
    <row r="22" spans="1:29" s="59" customFormat="1" ht="18" customHeight="1" x14ac:dyDescent="0.2">
      <c r="A22" s="67" t="s">
        <v>1399</v>
      </c>
      <c r="B22" s="67" t="s">
        <v>1360</v>
      </c>
      <c r="C22" s="61" t="s">
        <v>293</v>
      </c>
      <c r="D22" s="62" t="s">
        <v>1314</v>
      </c>
      <c r="E22" s="63" t="s">
        <v>294</v>
      </c>
      <c r="F22" s="62" t="s">
        <v>1247</v>
      </c>
      <c r="G22" s="62" t="s">
        <v>286</v>
      </c>
      <c r="H22" s="67" t="s">
        <v>1189</v>
      </c>
      <c r="I22" s="64"/>
      <c r="J22" s="62" t="s">
        <v>1128</v>
      </c>
      <c r="K22" s="62" t="s">
        <v>1115</v>
      </c>
      <c r="L22" s="62">
        <v>1</v>
      </c>
      <c r="M22" s="62">
        <v>0</v>
      </c>
      <c r="N22" s="62" t="s">
        <v>543</v>
      </c>
      <c r="O22" s="64"/>
      <c r="P22" s="62"/>
      <c r="Q22" s="62" t="s">
        <v>937</v>
      </c>
      <c r="R22" s="62"/>
      <c r="S22" s="62" t="s">
        <v>344</v>
      </c>
      <c r="T22" s="62"/>
      <c r="U22" s="67" t="str">
        <f>D22</f>
        <v>TOCOPILLA</v>
      </c>
      <c r="V22" s="67"/>
      <c r="W22" s="65"/>
      <c r="X22" s="89">
        <v>8</v>
      </c>
      <c r="Y22" s="66">
        <v>0</v>
      </c>
      <c r="Z22" s="89">
        <f t="shared" si="0"/>
        <v>8</v>
      </c>
      <c r="AA22" s="93">
        <v>0</v>
      </c>
      <c r="AB22" s="98">
        <v>0</v>
      </c>
      <c r="AC22" s="102">
        <v>0</v>
      </c>
    </row>
    <row r="23" spans="1:29" s="58" customFormat="1" ht="18" customHeight="1" x14ac:dyDescent="0.2">
      <c r="A23" s="67" t="s">
        <v>1400</v>
      </c>
      <c r="B23" s="67">
        <v>88373103</v>
      </c>
      <c r="C23" s="61" t="s">
        <v>213</v>
      </c>
      <c r="D23" s="62" t="s">
        <v>434</v>
      </c>
      <c r="E23" s="63" t="s">
        <v>214</v>
      </c>
      <c r="F23" s="62" t="s">
        <v>1248</v>
      </c>
      <c r="G23" s="62" t="s">
        <v>328</v>
      </c>
      <c r="H23" s="67" t="s">
        <v>1190</v>
      </c>
      <c r="I23" s="64"/>
      <c r="J23" s="62" t="s">
        <v>1129</v>
      </c>
      <c r="K23" s="62" t="s">
        <v>140</v>
      </c>
      <c r="L23" s="62">
        <v>3</v>
      </c>
      <c r="M23" s="62">
        <v>0</v>
      </c>
      <c r="N23" s="62" t="s">
        <v>340</v>
      </c>
      <c r="O23" s="64"/>
      <c r="P23" s="62"/>
      <c r="Q23" s="62" t="s">
        <v>836</v>
      </c>
      <c r="R23" s="62"/>
      <c r="S23" s="62" t="s">
        <v>344</v>
      </c>
      <c r="T23" s="62" t="s">
        <v>435</v>
      </c>
      <c r="U23" s="67" t="s">
        <v>434</v>
      </c>
      <c r="V23" s="67"/>
      <c r="W23" s="65"/>
      <c r="X23" s="89">
        <v>0</v>
      </c>
      <c r="Y23" s="66">
        <v>0</v>
      </c>
      <c r="Z23" s="89">
        <f t="shared" si="0"/>
        <v>0</v>
      </c>
      <c r="AA23" s="93">
        <v>0</v>
      </c>
      <c r="AB23" s="98">
        <v>0</v>
      </c>
      <c r="AC23" s="102">
        <v>0</v>
      </c>
    </row>
    <row r="24" spans="1:29" s="59" customFormat="1" ht="18" customHeight="1" x14ac:dyDescent="0.2">
      <c r="A24" s="67" t="s">
        <v>1401</v>
      </c>
      <c r="B24" s="67">
        <v>88752201</v>
      </c>
      <c r="C24" s="61" t="s">
        <v>307</v>
      </c>
      <c r="D24" s="62" t="s">
        <v>1315</v>
      </c>
      <c r="E24" s="63" t="s">
        <v>308</v>
      </c>
      <c r="F24" s="62" t="s">
        <v>1249</v>
      </c>
      <c r="G24" s="62" t="s">
        <v>286</v>
      </c>
      <c r="H24" s="67" t="s">
        <v>1191</v>
      </c>
      <c r="I24" s="64"/>
      <c r="J24" s="62" t="s">
        <v>1130</v>
      </c>
      <c r="K24" s="62" t="s">
        <v>1036</v>
      </c>
      <c r="L24" s="62">
        <v>2</v>
      </c>
      <c r="M24" s="62">
        <v>0</v>
      </c>
      <c r="N24" s="62" t="s">
        <v>340</v>
      </c>
      <c r="O24" s="64"/>
      <c r="P24" s="62"/>
      <c r="Q24" s="62" t="s">
        <v>939</v>
      </c>
      <c r="R24" s="62"/>
      <c r="S24" s="62" t="s">
        <v>555</v>
      </c>
      <c r="T24" s="62" t="s">
        <v>556</v>
      </c>
      <c r="U24" s="67" t="str">
        <f>D24</f>
        <v>HUASCO</v>
      </c>
      <c r="V24" s="67"/>
      <c r="W24" s="65"/>
      <c r="X24" s="89">
        <v>0</v>
      </c>
      <c r="Y24" s="66">
        <v>0</v>
      </c>
      <c r="Z24" s="89">
        <f t="shared" si="0"/>
        <v>0</v>
      </c>
      <c r="AA24" s="93">
        <v>0</v>
      </c>
      <c r="AB24" s="98">
        <v>0</v>
      </c>
      <c r="AC24" s="102">
        <v>0</v>
      </c>
    </row>
    <row r="25" spans="1:29" s="59" customFormat="1" ht="18" customHeight="1" x14ac:dyDescent="0.2">
      <c r="A25" s="67" t="s">
        <v>1402</v>
      </c>
      <c r="B25" s="67">
        <v>89904927</v>
      </c>
      <c r="C25" s="61" t="s">
        <v>195</v>
      </c>
      <c r="D25" s="62" t="s">
        <v>423</v>
      </c>
      <c r="E25" s="63" t="s">
        <v>196</v>
      </c>
      <c r="F25" s="62" t="s">
        <v>1250</v>
      </c>
      <c r="G25" s="62" t="s">
        <v>633</v>
      </c>
      <c r="H25" s="67" t="s">
        <v>1192</v>
      </c>
      <c r="I25" s="64"/>
      <c r="J25" s="62" t="s">
        <v>1131</v>
      </c>
      <c r="K25" s="62" t="s">
        <v>197</v>
      </c>
      <c r="L25" s="62">
        <v>3</v>
      </c>
      <c r="M25" s="62">
        <v>0</v>
      </c>
      <c r="N25" s="62" t="s">
        <v>412</v>
      </c>
      <c r="O25" s="64"/>
      <c r="P25" s="62"/>
      <c r="Q25" s="62" t="s">
        <v>363</v>
      </c>
      <c r="R25" s="62"/>
      <c r="S25" s="62" t="s">
        <v>344</v>
      </c>
      <c r="T25" s="62" t="s">
        <v>424</v>
      </c>
      <c r="U25" s="67" t="s">
        <v>423</v>
      </c>
      <c r="V25" s="67"/>
      <c r="W25" s="65"/>
      <c r="X25" s="89">
        <v>0</v>
      </c>
      <c r="Y25" s="66">
        <v>0</v>
      </c>
      <c r="Z25" s="89">
        <f t="shared" si="0"/>
        <v>0</v>
      </c>
      <c r="AA25" s="93">
        <v>0</v>
      </c>
      <c r="AB25" s="98">
        <v>0</v>
      </c>
      <c r="AC25" s="102">
        <v>0</v>
      </c>
    </row>
    <row r="26" spans="1:29" s="58" customFormat="1" ht="18" customHeight="1" x14ac:dyDescent="0.2">
      <c r="A26" s="67" t="s">
        <v>1403</v>
      </c>
      <c r="B26" s="67">
        <v>90166042</v>
      </c>
      <c r="C26" s="61" t="s">
        <v>270</v>
      </c>
      <c r="D26" s="62" t="s">
        <v>1316</v>
      </c>
      <c r="E26" s="63" t="s">
        <v>271</v>
      </c>
      <c r="F26" s="62" t="s">
        <v>272</v>
      </c>
      <c r="G26" s="62" t="s">
        <v>328</v>
      </c>
      <c r="H26" s="67" t="s">
        <v>1193</v>
      </c>
      <c r="I26" s="64"/>
      <c r="J26" s="62" t="s">
        <v>1132</v>
      </c>
      <c r="K26" s="62" t="s">
        <v>103</v>
      </c>
      <c r="L26" s="62">
        <v>4</v>
      </c>
      <c r="M26" s="62">
        <v>0</v>
      </c>
      <c r="N26" s="62" t="s">
        <v>118</v>
      </c>
      <c r="O26" s="64"/>
      <c r="P26" s="62"/>
      <c r="Q26" s="62" t="s">
        <v>836</v>
      </c>
      <c r="R26" s="62"/>
      <c r="S26" s="62"/>
      <c r="T26" s="62"/>
      <c r="U26" s="67"/>
      <c r="V26" s="67"/>
      <c r="W26" s="65"/>
      <c r="X26" s="89">
        <v>0</v>
      </c>
      <c r="Y26" s="66">
        <v>0</v>
      </c>
      <c r="Z26" s="89">
        <f t="shared" si="0"/>
        <v>0</v>
      </c>
      <c r="AA26" s="93">
        <v>0</v>
      </c>
      <c r="AB26" s="98">
        <v>0</v>
      </c>
      <c r="AC26" s="102">
        <v>0</v>
      </c>
    </row>
    <row r="27" spans="1:29" s="58" customFormat="1" ht="18" customHeight="1" x14ac:dyDescent="0.2">
      <c r="A27" s="67" t="s">
        <v>1404</v>
      </c>
      <c r="B27" s="67">
        <v>92761525</v>
      </c>
      <c r="C27" s="61" t="s">
        <v>252</v>
      </c>
      <c r="D27" s="62" t="s">
        <v>1317</v>
      </c>
      <c r="E27" s="63" t="s">
        <v>253</v>
      </c>
      <c r="F27" s="62" t="s">
        <v>1251</v>
      </c>
      <c r="G27" s="62" t="s">
        <v>328</v>
      </c>
      <c r="H27" s="67" t="s">
        <v>1194</v>
      </c>
      <c r="I27" s="64"/>
      <c r="J27" s="62" t="s">
        <v>360</v>
      </c>
      <c r="K27" s="62" t="s">
        <v>103</v>
      </c>
      <c r="L27" s="62">
        <v>3</v>
      </c>
      <c r="M27" s="62">
        <v>0</v>
      </c>
      <c r="N27" s="62" t="s">
        <v>351</v>
      </c>
      <c r="O27" s="64"/>
      <c r="P27" s="62"/>
      <c r="Q27" s="62" t="s">
        <v>836</v>
      </c>
      <c r="R27" s="62"/>
      <c r="S27" s="62" t="s">
        <v>353</v>
      </c>
      <c r="T27" s="62" t="s">
        <v>361</v>
      </c>
      <c r="U27" s="67" t="s">
        <v>362</v>
      </c>
      <c r="V27" s="67"/>
      <c r="W27" s="65"/>
      <c r="X27" s="89">
        <v>121</v>
      </c>
      <c r="Y27" s="66">
        <v>106</v>
      </c>
      <c r="Z27" s="89">
        <f t="shared" si="0"/>
        <v>15</v>
      </c>
      <c r="AA27" s="93">
        <v>0.71031746031746035</v>
      </c>
      <c r="AB27" s="98">
        <v>2771940</v>
      </c>
      <c r="AC27" s="102">
        <v>287.5</v>
      </c>
    </row>
    <row r="28" spans="1:29" s="58" customFormat="1" ht="18" customHeight="1" x14ac:dyDescent="0.2">
      <c r="A28" s="67" t="s">
        <v>1405</v>
      </c>
      <c r="B28" s="67">
        <v>93052528</v>
      </c>
      <c r="C28" s="61" t="s">
        <v>288</v>
      </c>
      <c r="D28" s="62" t="s">
        <v>1307</v>
      </c>
      <c r="E28" s="63" t="s">
        <v>289</v>
      </c>
      <c r="F28" s="62" t="s">
        <v>1252</v>
      </c>
      <c r="G28" s="62" t="s">
        <v>286</v>
      </c>
      <c r="H28" s="77" t="s">
        <v>726</v>
      </c>
      <c r="I28" s="64"/>
      <c r="J28" s="62" t="s">
        <v>1133</v>
      </c>
      <c r="K28" s="62" t="s">
        <v>1116</v>
      </c>
      <c r="L28" s="62">
        <v>1</v>
      </c>
      <c r="M28" s="62">
        <v>0</v>
      </c>
      <c r="N28" s="62" t="s">
        <v>724</v>
      </c>
      <c r="O28" s="64"/>
      <c r="P28" s="62"/>
      <c r="Q28" s="62" t="s">
        <v>937</v>
      </c>
      <c r="R28" s="62"/>
      <c r="S28" s="62" t="s">
        <v>344</v>
      </c>
      <c r="T28" s="62" t="s">
        <v>542</v>
      </c>
      <c r="U28" s="67" t="s">
        <v>401</v>
      </c>
      <c r="V28" s="67"/>
      <c r="W28" s="65"/>
      <c r="X28" s="89">
        <v>553</v>
      </c>
      <c r="Y28" s="66">
        <v>441</v>
      </c>
      <c r="Z28" s="89">
        <f t="shared" si="0"/>
        <v>112</v>
      </c>
      <c r="AA28" s="93">
        <v>0.87244897959183676</v>
      </c>
      <c r="AB28" s="98">
        <v>11312590</v>
      </c>
      <c r="AC28" s="102">
        <v>439.29999999999995</v>
      </c>
    </row>
    <row r="29" spans="1:29" s="58" customFormat="1" ht="18" customHeight="1" x14ac:dyDescent="0.2">
      <c r="A29" s="67" t="s">
        <v>1382</v>
      </c>
      <c r="B29" s="67" t="s">
        <v>1361</v>
      </c>
      <c r="C29" s="61" t="s">
        <v>267</v>
      </c>
      <c r="D29" s="62" t="s">
        <v>1318</v>
      </c>
      <c r="E29" s="63" t="s">
        <v>268</v>
      </c>
      <c r="F29" s="62" t="s">
        <v>1253</v>
      </c>
      <c r="G29" s="62" t="s">
        <v>328</v>
      </c>
      <c r="H29" s="67" t="s">
        <v>1195</v>
      </c>
      <c r="I29" s="64"/>
      <c r="J29" s="62" t="s">
        <v>269</v>
      </c>
      <c r="K29" s="62" t="s">
        <v>1117</v>
      </c>
      <c r="L29" s="62">
        <v>3</v>
      </c>
      <c r="M29" s="62">
        <v>0</v>
      </c>
      <c r="N29" s="62" t="s">
        <v>118</v>
      </c>
      <c r="O29" s="64"/>
      <c r="P29" s="62"/>
      <c r="Q29" s="62" t="s">
        <v>363</v>
      </c>
      <c r="R29" s="62"/>
      <c r="S29" s="62" t="s">
        <v>353</v>
      </c>
      <c r="T29" s="62" t="s">
        <v>364</v>
      </c>
      <c r="U29" s="67" t="s">
        <v>365</v>
      </c>
      <c r="V29" s="67"/>
      <c r="W29" s="65"/>
      <c r="X29" s="89">
        <v>0</v>
      </c>
      <c r="Y29" s="66">
        <v>0</v>
      </c>
      <c r="Z29" s="89">
        <f t="shared" si="0"/>
        <v>0</v>
      </c>
      <c r="AA29" s="93">
        <v>0</v>
      </c>
      <c r="AB29" s="98">
        <v>0</v>
      </c>
      <c r="AC29" s="102">
        <v>0</v>
      </c>
    </row>
    <row r="30" spans="1:29" s="58" customFormat="1" ht="18" customHeight="1" x14ac:dyDescent="0.2">
      <c r="A30" s="67" t="s">
        <v>1381</v>
      </c>
      <c r="B30" s="67">
        <v>96841310</v>
      </c>
      <c r="C30" s="61" t="s">
        <v>188</v>
      </c>
      <c r="D30" s="62" t="s">
        <v>419</v>
      </c>
      <c r="E30" s="63" t="s">
        <v>416</v>
      </c>
      <c r="F30" s="62" t="s">
        <v>1254</v>
      </c>
      <c r="G30" s="62" t="s">
        <v>633</v>
      </c>
      <c r="H30" s="67" t="s">
        <v>687</v>
      </c>
      <c r="I30" s="64"/>
      <c r="J30" s="62" t="s">
        <v>1134</v>
      </c>
      <c r="K30" s="68">
        <v>41619</v>
      </c>
      <c r="L30" s="62">
        <v>1</v>
      </c>
      <c r="M30" s="62">
        <v>0</v>
      </c>
      <c r="N30" s="62" t="s">
        <v>417</v>
      </c>
      <c r="O30" s="64"/>
      <c r="P30" s="62"/>
      <c r="Q30" s="62" t="s">
        <v>688</v>
      </c>
      <c r="R30" s="62"/>
      <c r="S30" s="62" t="s">
        <v>353</v>
      </c>
      <c r="T30" s="62" t="s">
        <v>418</v>
      </c>
      <c r="U30" s="67" t="s">
        <v>419</v>
      </c>
      <c r="V30" s="67"/>
      <c r="W30" s="65"/>
      <c r="X30" s="89">
        <v>0</v>
      </c>
      <c r="Y30" s="66">
        <v>0</v>
      </c>
      <c r="Z30" s="89">
        <f t="shared" si="0"/>
        <v>0</v>
      </c>
      <c r="AA30" s="93">
        <v>0</v>
      </c>
      <c r="AB30" s="98">
        <v>0</v>
      </c>
      <c r="AC30" s="102">
        <v>345</v>
      </c>
    </row>
    <row r="31" spans="1:29" s="58" customFormat="1" ht="18" customHeight="1" x14ac:dyDescent="0.2">
      <c r="A31" s="67" t="s">
        <v>1380</v>
      </c>
      <c r="B31" s="67">
        <v>98041214</v>
      </c>
      <c r="C31" s="61" t="s">
        <v>238</v>
      </c>
      <c r="D31" s="62" t="s">
        <v>476</v>
      </c>
      <c r="E31" s="63" t="s">
        <v>473</v>
      </c>
      <c r="F31" s="62" t="s">
        <v>1255</v>
      </c>
      <c r="G31" s="62" t="s">
        <v>328</v>
      </c>
      <c r="H31" s="67" t="s">
        <v>1196</v>
      </c>
      <c r="I31" s="64"/>
      <c r="J31" s="62" t="s">
        <v>238</v>
      </c>
      <c r="K31" s="62" t="s">
        <v>366</v>
      </c>
      <c r="L31" s="62">
        <v>3</v>
      </c>
      <c r="M31" s="62">
        <v>0</v>
      </c>
      <c r="N31" s="62" t="s">
        <v>474</v>
      </c>
      <c r="O31" s="64"/>
      <c r="P31" s="62"/>
      <c r="Q31" s="62" t="s">
        <v>836</v>
      </c>
      <c r="R31" s="62"/>
      <c r="S31" s="62" t="s">
        <v>353</v>
      </c>
      <c r="T31" s="62" t="s">
        <v>475</v>
      </c>
      <c r="U31" s="67" t="s">
        <v>476</v>
      </c>
      <c r="V31" s="67" t="s">
        <v>101</v>
      </c>
      <c r="W31" s="65"/>
      <c r="X31" s="89">
        <v>0</v>
      </c>
      <c r="Y31" s="66">
        <v>0</v>
      </c>
      <c r="Z31" s="89">
        <f t="shared" si="0"/>
        <v>0</v>
      </c>
      <c r="AA31" s="93">
        <v>0</v>
      </c>
      <c r="AB31" s="98">
        <v>0</v>
      </c>
      <c r="AC31" s="102">
        <v>0</v>
      </c>
    </row>
    <row r="32" spans="1:29" s="58" customFormat="1" ht="18" customHeight="1" x14ac:dyDescent="0.2">
      <c r="A32" s="67" t="s">
        <v>55</v>
      </c>
      <c r="B32" s="67">
        <v>100264102</v>
      </c>
      <c r="C32" s="61" t="s">
        <v>186</v>
      </c>
      <c r="D32" s="62" t="s">
        <v>409</v>
      </c>
      <c r="E32" s="63" t="s">
        <v>187</v>
      </c>
      <c r="F32" s="62" t="s">
        <v>1256</v>
      </c>
      <c r="G32" s="62" t="s">
        <v>633</v>
      </c>
      <c r="H32" s="67" t="s">
        <v>410</v>
      </c>
      <c r="I32" s="64"/>
      <c r="J32" s="62" t="s">
        <v>411</v>
      </c>
      <c r="K32" s="62" t="s">
        <v>1036</v>
      </c>
      <c r="L32" s="62">
        <v>3</v>
      </c>
      <c r="M32" s="62">
        <v>0</v>
      </c>
      <c r="N32" s="62" t="s">
        <v>412</v>
      </c>
      <c r="O32" s="64"/>
      <c r="P32" s="62"/>
      <c r="Q32" s="62" t="s">
        <v>363</v>
      </c>
      <c r="R32" s="62"/>
      <c r="S32" s="62" t="s">
        <v>413</v>
      </c>
      <c r="T32" s="62"/>
      <c r="U32" s="67" t="s">
        <v>414</v>
      </c>
      <c r="V32" s="67" t="s">
        <v>415</v>
      </c>
      <c r="W32" s="65"/>
      <c r="X32" s="89">
        <v>0</v>
      </c>
      <c r="Y32" s="66">
        <v>0</v>
      </c>
      <c r="Z32" s="89">
        <f t="shared" si="0"/>
        <v>0</v>
      </c>
      <c r="AA32" s="93">
        <v>0</v>
      </c>
      <c r="AB32" s="98">
        <v>0</v>
      </c>
      <c r="AC32" s="102">
        <v>37.949999999999996</v>
      </c>
    </row>
    <row r="33" spans="1:29" s="58" customFormat="1" ht="18" customHeight="1" x14ac:dyDescent="0.2">
      <c r="A33" s="67" t="s">
        <v>76</v>
      </c>
      <c r="B33" s="67">
        <v>102705084</v>
      </c>
      <c r="C33" s="61" t="s">
        <v>279</v>
      </c>
      <c r="D33" s="62" t="s">
        <v>608</v>
      </c>
      <c r="E33" s="63" t="s">
        <v>280</v>
      </c>
      <c r="F33" s="62">
        <v>84092579</v>
      </c>
      <c r="G33" s="62" t="s">
        <v>328</v>
      </c>
      <c r="H33" s="67" t="s">
        <v>281</v>
      </c>
      <c r="I33" s="64"/>
      <c r="J33" s="62" t="s">
        <v>368</v>
      </c>
      <c r="K33" s="62" t="s">
        <v>103</v>
      </c>
      <c r="L33" s="62">
        <v>3</v>
      </c>
      <c r="M33" s="62">
        <v>0</v>
      </c>
      <c r="N33" s="62" t="s">
        <v>960</v>
      </c>
      <c r="O33" s="64"/>
      <c r="P33" s="62"/>
      <c r="Q33" s="62" t="s">
        <v>944</v>
      </c>
      <c r="R33" s="62"/>
      <c r="S33" s="62" t="s">
        <v>344</v>
      </c>
      <c r="T33" s="62"/>
      <c r="U33" s="67" t="s">
        <v>370</v>
      </c>
      <c r="V33" s="67" t="s">
        <v>354</v>
      </c>
      <c r="W33" s="65"/>
      <c r="X33" s="89">
        <v>190</v>
      </c>
      <c r="Y33" s="66">
        <v>121</v>
      </c>
      <c r="Z33" s="89">
        <f t="shared" si="0"/>
        <v>69</v>
      </c>
      <c r="AA33" s="93">
        <v>0.96875</v>
      </c>
      <c r="AB33" s="98">
        <v>3051790</v>
      </c>
      <c r="AC33" s="102">
        <v>36.799999999999997</v>
      </c>
    </row>
    <row r="34" spans="1:29" s="58" customFormat="1" ht="18" customHeight="1" x14ac:dyDescent="0.2">
      <c r="A34" s="69" t="s">
        <v>657</v>
      </c>
      <c r="B34" s="69">
        <v>105297769</v>
      </c>
      <c r="C34" s="69" t="s">
        <v>1342</v>
      </c>
      <c r="D34" s="62" t="s">
        <v>370</v>
      </c>
      <c r="E34" s="63" t="s">
        <v>903</v>
      </c>
      <c r="F34" s="63">
        <v>950866511</v>
      </c>
      <c r="G34" s="62" t="s">
        <v>725</v>
      </c>
      <c r="H34" s="77" t="s">
        <v>904</v>
      </c>
      <c r="I34" s="63"/>
      <c r="J34" s="63" t="s">
        <v>905</v>
      </c>
      <c r="K34" s="63"/>
      <c r="L34" s="63">
        <v>3</v>
      </c>
      <c r="M34" s="63"/>
      <c r="N34" s="63" t="s">
        <v>336</v>
      </c>
      <c r="O34" s="63"/>
      <c r="P34" s="63"/>
      <c r="Q34" s="63" t="s">
        <v>906</v>
      </c>
      <c r="R34" s="63">
        <v>0</v>
      </c>
      <c r="S34" s="63" t="s">
        <v>344</v>
      </c>
      <c r="T34" s="63" t="s">
        <v>907</v>
      </c>
      <c r="U34" s="69"/>
      <c r="V34" s="69"/>
      <c r="W34" s="65"/>
      <c r="X34" s="89">
        <v>96</v>
      </c>
      <c r="Y34" s="66">
        <v>70</v>
      </c>
      <c r="Z34" s="89">
        <f t="shared" si="0"/>
        <v>26</v>
      </c>
      <c r="AA34" s="93">
        <v>0.72916666666666663</v>
      </c>
      <c r="AB34" s="98">
        <v>2423040</v>
      </c>
      <c r="AC34" s="102">
        <v>70.149999999999991</v>
      </c>
    </row>
    <row r="35" spans="1:29" s="58" customFormat="1" ht="18" customHeight="1" x14ac:dyDescent="0.2">
      <c r="A35" s="67" t="s">
        <v>81</v>
      </c>
      <c r="B35" s="67">
        <v>107776842</v>
      </c>
      <c r="C35" s="61" t="s">
        <v>299</v>
      </c>
      <c r="D35" s="62" t="s">
        <v>1306</v>
      </c>
      <c r="E35" s="63" t="s">
        <v>300</v>
      </c>
      <c r="F35" s="62" t="s">
        <v>1257</v>
      </c>
      <c r="G35" s="62" t="s">
        <v>286</v>
      </c>
      <c r="H35" s="67" t="s">
        <v>1197</v>
      </c>
      <c r="I35" s="64"/>
      <c r="J35" s="62" t="s">
        <v>1036</v>
      </c>
      <c r="K35" s="62" t="s">
        <v>1036</v>
      </c>
      <c r="L35" s="62">
        <v>4</v>
      </c>
      <c r="M35" s="62">
        <v>0</v>
      </c>
      <c r="N35" s="62" t="s">
        <v>546</v>
      </c>
      <c r="O35" s="64"/>
      <c r="P35" s="62"/>
      <c r="Q35" s="62" t="s">
        <v>836</v>
      </c>
      <c r="R35" s="62"/>
      <c r="S35" s="62" t="s">
        <v>353</v>
      </c>
      <c r="T35" s="62"/>
      <c r="U35" s="67"/>
      <c r="V35" s="67"/>
      <c r="W35" s="65"/>
      <c r="X35" s="89">
        <v>0</v>
      </c>
      <c r="Y35" s="66">
        <v>0</v>
      </c>
      <c r="Z35" s="89">
        <f t="shared" si="0"/>
        <v>0</v>
      </c>
      <c r="AA35" s="93">
        <v>0</v>
      </c>
      <c r="AB35" s="98">
        <v>0</v>
      </c>
      <c r="AC35" s="102">
        <v>0</v>
      </c>
    </row>
    <row r="36" spans="1:29" s="58" customFormat="1" ht="18" customHeight="1" x14ac:dyDescent="0.2">
      <c r="A36" s="67" t="s">
        <v>78</v>
      </c>
      <c r="B36" s="67" t="s">
        <v>1362</v>
      </c>
      <c r="C36" s="61" t="s">
        <v>283</v>
      </c>
      <c r="D36" s="62" t="s">
        <v>1319</v>
      </c>
      <c r="E36" s="63" t="s">
        <v>371</v>
      </c>
      <c r="F36" s="62" t="s">
        <v>1258</v>
      </c>
      <c r="G36" s="62" t="s">
        <v>328</v>
      </c>
      <c r="H36" s="67" t="s">
        <v>1198</v>
      </c>
      <c r="I36" s="64"/>
      <c r="J36" s="62" t="s">
        <v>1135</v>
      </c>
      <c r="K36" s="62" t="s">
        <v>140</v>
      </c>
      <c r="L36" s="62">
        <v>1</v>
      </c>
      <c r="M36" s="62">
        <v>0</v>
      </c>
      <c r="N36" s="62" t="s">
        <v>340</v>
      </c>
      <c r="O36" s="64"/>
      <c r="P36" s="75">
        <v>0.05</v>
      </c>
      <c r="Q36" s="62" t="s">
        <v>690</v>
      </c>
      <c r="R36" s="62"/>
      <c r="S36" s="62"/>
      <c r="T36" s="62" t="s">
        <v>600</v>
      </c>
      <c r="U36" s="67" t="s">
        <v>564</v>
      </c>
      <c r="V36" s="67" t="s">
        <v>372</v>
      </c>
      <c r="W36" s="65"/>
      <c r="X36" s="89">
        <v>49</v>
      </c>
      <c r="Y36" s="66">
        <v>40</v>
      </c>
      <c r="Z36" s="89">
        <f t="shared" si="0"/>
        <v>9</v>
      </c>
      <c r="AA36" s="93">
        <v>0.96551724137931039</v>
      </c>
      <c r="AB36" s="98">
        <v>1006600</v>
      </c>
      <c r="AC36" s="102">
        <v>49.449999999999996</v>
      </c>
    </row>
    <row r="37" spans="1:29" s="58" customFormat="1" ht="18" customHeight="1" x14ac:dyDescent="0.2">
      <c r="A37" s="67" t="s">
        <v>77</v>
      </c>
      <c r="B37" s="67">
        <v>113540494</v>
      </c>
      <c r="C37" s="61" t="s">
        <v>282</v>
      </c>
      <c r="D37" s="62" t="s">
        <v>1320</v>
      </c>
      <c r="E37" s="63" t="s">
        <v>373</v>
      </c>
      <c r="F37" s="62" t="s">
        <v>1259</v>
      </c>
      <c r="G37" s="62" t="s">
        <v>328</v>
      </c>
      <c r="H37" s="67" t="s">
        <v>1199</v>
      </c>
      <c r="I37" s="64"/>
      <c r="J37" s="62" t="s">
        <v>374</v>
      </c>
      <c r="K37" s="62" t="s">
        <v>1036</v>
      </c>
      <c r="L37" s="62">
        <v>3</v>
      </c>
      <c r="M37" s="62">
        <v>0</v>
      </c>
      <c r="N37" s="62" t="s">
        <v>400</v>
      </c>
      <c r="O37" s="64"/>
      <c r="P37" s="62"/>
      <c r="Q37" s="62" t="s">
        <v>836</v>
      </c>
      <c r="R37" s="62"/>
      <c r="S37" s="62" t="s">
        <v>344</v>
      </c>
      <c r="T37" s="62" t="s">
        <v>375</v>
      </c>
      <c r="U37" s="67" t="s">
        <v>370</v>
      </c>
      <c r="V37" s="67"/>
      <c r="W37" s="65"/>
      <c r="X37" s="89">
        <v>0</v>
      </c>
      <c r="Y37" s="66">
        <v>0</v>
      </c>
      <c r="Z37" s="89">
        <f t="shared" si="0"/>
        <v>0</v>
      </c>
      <c r="AA37" s="93">
        <v>0</v>
      </c>
      <c r="AB37" s="98">
        <v>0</v>
      </c>
      <c r="AC37" s="102">
        <v>0</v>
      </c>
    </row>
    <row r="38" spans="1:29" s="60" customFormat="1" ht="18" customHeight="1" x14ac:dyDescent="0.2">
      <c r="A38" s="67" t="s">
        <v>53</v>
      </c>
      <c r="B38" s="67">
        <v>114079979</v>
      </c>
      <c r="C38" s="61" t="s">
        <v>180</v>
      </c>
      <c r="D38" s="62" t="s">
        <v>1320</v>
      </c>
      <c r="E38" s="63" t="s">
        <v>181</v>
      </c>
      <c r="F38" s="62" t="s">
        <v>1260</v>
      </c>
      <c r="G38" s="62" t="s">
        <v>328</v>
      </c>
      <c r="H38" s="67" t="s">
        <v>1200</v>
      </c>
      <c r="I38" s="64"/>
      <c r="J38" s="62" t="s">
        <v>1136</v>
      </c>
      <c r="K38" s="62" t="s">
        <v>366</v>
      </c>
      <c r="L38" s="62">
        <v>3</v>
      </c>
      <c r="M38" s="62">
        <v>0</v>
      </c>
      <c r="N38" s="62"/>
      <c r="O38" s="64"/>
      <c r="P38" s="62"/>
      <c r="Q38" s="62" t="s">
        <v>836</v>
      </c>
      <c r="R38" s="62"/>
      <c r="S38" s="62"/>
      <c r="T38" s="62"/>
      <c r="U38" s="67"/>
      <c r="V38" s="67" t="s">
        <v>182</v>
      </c>
      <c r="W38" s="65"/>
      <c r="X38" s="89">
        <v>106</v>
      </c>
      <c r="Y38" s="66">
        <v>95</v>
      </c>
      <c r="Z38" s="89">
        <f t="shared" si="0"/>
        <v>11</v>
      </c>
      <c r="AA38" s="93">
        <v>0.86301369863013699</v>
      </c>
      <c r="AB38" s="98">
        <v>2438050</v>
      </c>
      <c r="AC38" s="102">
        <v>50.599999999999994</v>
      </c>
    </row>
    <row r="39" spans="1:29" s="58" customFormat="1" ht="18" customHeight="1" x14ac:dyDescent="0.2">
      <c r="A39" s="67" t="s">
        <v>40</v>
      </c>
      <c r="B39" s="67">
        <v>115643592</v>
      </c>
      <c r="C39" s="61" t="s">
        <v>142</v>
      </c>
      <c r="D39" s="62" t="s">
        <v>1321</v>
      </c>
      <c r="E39" s="63" t="s">
        <v>143</v>
      </c>
      <c r="F39" s="62" t="s">
        <v>1261</v>
      </c>
      <c r="G39" s="62" t="s">
        <v>328</v>
      </c>
      <c r="H39" s="76" t="s">
        <v>594</v>
      </c>
      <c r="I39" s="64"/>
      <c r="J39" s="62" t="s">
        <v>1137</v>
      </c>
      <c r="K39" s="62" t="s">
        <v>103</v>
      </c>
      <c r="L39" s="62">
        <v>1</v>
      </c>
      <c r="M39" s="62">
        <v>0</v>
      </c>
      <c r="N39" s="62" t="s">
        <v>351</v>
      </c>
      <c r="O39" s="64"/>
      <c r="P39" s="75">
        <v>0.05</v>
      </c>
      <c r="Q39" s="62" t="s">
        <v>690</v>
      </c>
      <c r="R39" s="62">
        <v>98376422</v>
      </c>
      <c r="S39" s="62" t="s">
        <v>494</v>
      </c>
      <c r="T39" s="62" t="s">
        <v>595</v>
      </c>
      <c r="U39" s="67" t="s">
        <v>402</v>
      </c>
      <c r="V39" s="67" t="s">
        <v>144</v>
      </c>
      <c r="W39" s="65"/>
      <c r="X39" s="89">
        <v>623</v>
      </c>
      <c r="Y39" s="66">
        <v>497</v>
      </c>
      <c r="Z39" s="89">
        <f t="shared" si="0"/>
        <v>126</v>
      </c>
      <c r="AA39" s="93">
        <v>0.9291666666666667</v>
      </c>
      <c r="AB39" s="98">
        <v>12767030</v>
      </c>
      <c r="AC39" s="102">
        <v>500.24999999999994</v>
      </c>
    </row>
    <row r="40" spans="1:29" s="58" customFormat="1" ht="18" customHeight="1" x14ac:dyDescent="0.2">
      <c r="A40" s="67" t="s">
        <v>42</v>
      </c>
      <c r="B40" s="67">
        <v>116841290</v>
      </c>
      <c r="C40" s="61" t="s">
        <v>147</v>
      </c>
      <c r="D40" s="62" t="s">
        <v>674</v>
      </c>
      <c r="E40" s="63" t="s">
        <v>148</v>
      </c>
      <c r="F40" s="62"/>
      <c r="G40" s="62" t="s">
        <v>328</v>
      </c>
      <c r="H40" s="67" t="s">
        <v>1201</v>
      </c>
      <c r="I40" s="64"/>
      <c r="J40" s="62" t="s">
        <v>1138</v>
      </c>
      <c r="K40" s="62" t="s">
        <v>1113</v>
      </c>
      <c r="L40" s="62">
        <v>1</v>
      </c>
      <c r="M40" s="62">
        <v>0</v>
      </c>
      <c r="N40" s="62" t="s">
        <v>351</v>
      </c>
      <c r="O40" s="64"/>
      <c r="P40" s="62"/>
      <c r="Q40" s="62" t="s">
        <v>497</v>
      </c>
      <c r="R40" s="62" t="s">
        <v>1111</v>
      </c>
      <c r="S40" s="62" t="s">
        <v>498</v>
      </c>
      <c r="T40" s="62" t="s">
        <v>499</v>
      </c>
      <c r="U40" s="67" t="s">
        <v>331</v>
      </c>
      <c r="V40" s="67" t="s">
        <v>149</v>
      </c>
      <c r="W40" s="65"/>
      <c r="X40" s="89">
        <v>397</v>
      </c>
      <c r="Y40" s="66">
        <v>380</v>
      </c>
      <c r="Z40" s="89">
        <f t="shared" si="0"/>
        <v>17</v>
      </c>
      <c r="AA40" s="93">
        <v>0.9850746268656716</v>
      </c>
      <c r="AB40" s="98">
        <v>9639200</v>
      </c>
      <c r="AC40" s="102">
        <v>385.24999999999994</v>
      </c>
    </row>
    <row r="41" spans="1:29" s="58" customFormat="1" ht="18" customHeight="1" x14ac:dyDescent="0.2">
      <c r="A41" s="67" t="s">
        <v>59</v>
      </c>
      <c r="B41" s="67">
        <v>120037366</v>
      </c>
      <c r="C41" s="61" t="s">
        <v>198</v>
      </c>
      <c r="D41" s="62" t="s">
        <v>199</v>
      </c>
      <c r="E41" s="63" t="s">
        <v>200</v>
      </c>
      <c r="F41" s="62" t="s">
        <v>1262</v>
      </c>
      <c r="G41" s="62" t="s">
        <v>633</v>
      </c>
      <c r="H41" s="67" t="s">
        <v>1202</v>
      </c>
      <c r="I41" s="64"/>
      <c r="J41" s="62" t="s">
        <v>1139</v>
      </c>
      <c r="K41" s="62" t="s">
        <v>1036</v>
      </c>
      <c r="L41" s="62">
        <v>3</v>
      </c>
      <c r="M41" s="62">
        <v>0</v>
      </c>
      <c r="N41" s="62" t="s">
        <v>425</v>
      </c>
      <c r="O41" s="64"/>
      <c r="P41" s="62"/>
      <c r="Q41" s="62" t="s">
        <v>363</v>
      </c>
      <c r="R41" s="62"/>
      <c r="S41" s="62" t="s">
        <v>353</v>
      </c>
      <c r="T41" s="62" t="s">
        <v>427</v>
      </c>
      <c r="U41" s="67" t="s">
        <v>428</v>
      </c>
      <c r="V41" s="67"/>
      <c r="W41" s="65"/>
      <c r="X41" s="89">
        <v>70</v>
      </c>
      <c r="Y41" s="66">
        <v>57</v>
      </c>
      <c r="Z41" s="89">
        <f t="shared" si="0"/>
        <v>13</v>
      </c>
      <c r="AA41" s="93">
        <v>0.99450549450549453</v>
      </c>
      <c r="AB41" s="98">
        <v>1447430</v>
      </c>
      <c r="AC41" s="102">
        <v>218.49999999999997</v>
      </c>
    </row>
    <row r="42" spans="1:29" s="58" customFormat="1" ht="18" customHeight="1" x14ac:dyDescent="0.2">
      <c r="A42" s="67" t="s">
        <v>69</v>
      </c>
      <c r="B42" s="67">
        <v>123232399</v>
      </c>
      <c r="C42" s="61" t="s">
        <v>243</v>
      </c>
      <c r="D42" s="62" t="s">
        <v>1322</v>
      </c>
      <c r="E42" s="63" t="s">
        <v>244</v>
      </c>
      <c r="F42" s="62" t="s">
        <v>1263</v>
      </c>
      <c r="G42" s="62" t="s">
        <v>328</v>
      </c>
      <c r="H42" s="67" t="s">
        <v>1203</v>
      </c>
      <c r="I42" s="64"/>
      <c r="J42" s="62" t="s">
        <v>1140</v>
      </c>
      <c r="K42" s="62" t="s">
        <v>245</v>
      </c>
      <c r="L42" s="62">
        <v>3</v>
      </c>
      <c r="M42" s="62">
        <v>0</v>
      </c>
      <c r="N42" s="62" t="s">
        <v>340</v>
      </c>
      <c r="O42" s="64"/>
      <c r="P42" s="62"/>
      <c r="Q42" s="62" t="s">
        <v>690</v>
      </c>
      <c r="R42" s="62"/>
      <c r="S42" s="62" t="s">
        <v>344</v>
      </c>
      <c r="T42" s="62" t="s">
        <v>376</v>
      </c>
      <c r="U42" s="67" t="s">
        <v>324</v>
      </c>
      <c r="V42" s="67" t="s">
        <v>354</v>
      </c>
      <c r="W42" s="65"/>
      <c r="X42" s="89">
        <v>0</v>
      </c>
      <c r="Y42" s="66">
        <v>0</v>
      </c>
      <c r="Z42" s="89">
        <f t="shared" si="0"/>
        <v>0</v>
      </c>
      <c r="AA42" s="93">
        <v>0</v>
      </c>
      <c r="AB42" s="98">
        <v>0</v>
      </c>
      <c r="AC42" s="102">
        <v>0</v>
      </c>
    </row>
    <row r="43" spans="1:29" s="58" customFormat="1" ht="18" customHeight="1" x14ac:dyDescent="0.2">
      <c r="A43" s="69" t="s">
        <v>658</v>
      </c>
      <c r="B43" s="69">
        <v>124953200</v>
      </c>
      <c r="C43" s="69" t="s">
        <v>659</v>
      </c>
      <c r="D43" s="62" t="s">
        <v>649</v>
      </c>
      <c r="E43" s="63" t="s">
        <v>837</v>
      </c>
      <c r="F43" s="63">
        <v>97491171</v>
      </c>
      <c r="G43" s="62" t="s">
        <v>438</v>
      </c>
      <c r="H43" s="67"/>
      <c r="I43" s="63"/>
      <c r="J43" s="63"/>
      <c r="K43" s="63"/>
      <c r="L43" s="63">
        <v>1</v>
      </c>
      <c r="M43" s="63"/>
      <c r="N43" s="63" t="s">
        <v>121</v>
      </c>
      <c r="O43" s="63"/>
      <c r="P43" s="63"/>
      <c r="Q43" s="63" t="s">
        <v>690</v>
      </c>
      <c r="R43" s="63">
        <v>0</v>
      </c>
      <c r="S43" s="63"/>
      <c r="T43" s="63" t="s">
        <v>838</v>
      </c>
      <c r="U43" s="69"/>
      <c r="V43" s="69"/>
      <c r="W43" s="65"/>
      <c r="X43" s="89">
        <v>0</v>
      </c>
      <c r="Y43" s="66">
        <v>0</v>
      </c>
      <c r="Z43" s="89">
        <f t="shared" si="0"/>
        <v>0</v>
      </c>
      <c r="AA43" s="93">
        <v>0</v>
      </c>
      <c r="AB43" s="98">
        <v>0</v>
      </c>
      <c r="AC43" s="102">
        <v>0</v>
      </c>
    </row>
    <row r="44" spans="1:29" s="58" customFormat="1" ht="18" customHeight="1" x14ac:dyDescent="0.2">
      <c r="A44" s="67" t="s">
        <v>618</v>
      </c>
      <c r="B44" s="67" t="s">
        <v>1363</v>
      </c>
      <c r="C44" s="61" t="s">
        <v>1343</v>
      </c>
      <c r="D44" s="62" t="s">
        <v>1323</v>
      </c>
      <c r="E44" s="61" t="s">
        <v>617</v>
      </c>
      <c r="F44" s="62" t="s">
        <v>1264</v>
      </c>
      <c r="G44" s="62" t="s">
        <v>286</v>
      </c>
      <c r="H44" s="67" t="s">
        <v>1204</v>
      </c>
      <c r="I44" s="62"/>
      <c r="J44" s="70"/>
      <c r="K44" s="70"/>
      <c r="L44" s="62"/>
      <c r="M44" s="62"/>
      <c r="N44" s="62" t="s">
        <v>732</v>
      </c>
      <c r="O44" s="64"/>
      <c r="P44" s="62"/>
      <c r="Q44" s="71" t="s">
        <v>844</v>
      </c>
      <c r="R44" s="71"/>
      <c r="S44" s="71"/>
      <c r="T44" s="71"/>
      <c r="U44" s="74"/>
      <c r="V44" s="74"/>
      <c r="W44" s="65"/>
      <c r="X44" s="89">
        <v>4</v>
      </c>
      <c r="Y44" s="66">
        <v>4</v>
      </c>
      <c r="Z44" s="89">
        <f t="shared" si="0"/>
        <v>0</v>
      </c>
      <c r="AA44" s="93">
        <v>0.75409836065573765</v>
      </c>
      <c r="AB44" s="98">
        <v>103960</v>
      </c>
      <c r="AC44" s="102">
        <v>60.949999999999996</v>
      </c>
    </row>
    <row r="45" spans="1:29" s="58" customFormat="1" ht="18" customHeight="1" x14ac:dyDescent="0.2">
      <c r="A45" s="67" t="s">
        <v>52</v>
      </c>
      <c r="B45" s="67">
        <v>144052439</v>
      </c>
      <c r="C45" s="61" t="s">
        <v>174</v>
      </c>
      <c r="D45" s="62" t="s">
        <v>325</v>
      </c>
      <c r="E45" s="63" t="s">
        <v>528</v>
      </c>
      <c r="F45" s="62">
        <v>953815405</v>
      </c>
      <c r="G45" s="62" t="s">
        <v>328</v>
      </c>
      <c r="H45" s="77" t="s">
        <v>839</v>
      </c>
      <c r="I45" s="64"/>
      <c r="J45" s="62" t="s">
        <v>1141</v>
      </c>
      <c r="K45" s="62" t="s">
        <v>103</v>
      </c>
      <c r="L45" s="62">
        <v>1</v>
      </c>
      <c r="M45" s="62">
        <v>0</v>
      </c>
      <c r="N45" s="62" t="s">
        <v>351</v>
      </c>
      <c r="O45" s="64"/>
      <c r="P45" s="75"/>
      <c r="Q45" s="62" t="s">
        <v>1765</v>
      </c>
      <c r="R45" s="62">
        <v>953815405</v>
      </c>
      <c r="S45" s="62" t="s">
        <v>344</v>
      </c>
      <c r="T45" s="62" t="s">
        <v>529</v>
      </c>
      <c r="U45" s="67" t="s">
        <v>325</v>
      </c>
      <c r="V45" s="67" t="s">
        <v>175</v>
      </c>
      <c r="W45" s="65"/>
      <c r="X45" s="89">
        <v>366</v>
      </c>
      <c r="Y45" s="66">
        <v>340</v>
      </c>
      <c r="Z45" s="89">
        <f t="shared" si="0"/>
        <v>26</v>
      </c>
      <c r="AA45" s="93">
        <v>0.67619047619047623</v>
      </c>
      <c r="AB45" s="98">
        <v>8732600</v>
      </c>
      <c r="AC45" s="102">
        <v>608.34999999999991</v>
      </c>
    </row>
    <row r="46" spans="1:29" s="60" customFormat="1" ht="18" customHeight="1" x14ac:dyDescent="0.2">
      <c r="A46" s="67" t="s">
        <v>622</v>
      </c>
      <c r="B46" s="67">
        <v>149056823</v>
      </c>
      <c r="C46" s="61" t="s">
        <v>621</v>
      </c>
      <c r="D46" s="62" t="s">
        <v>635</v>
      </c>
      <c r="E46" s="63" t="s">
        <v>623</v>
      </c>
      <c r="F46" s="62">
        <v>950089698</v>
      </c>
      <c r="G46" s="62" t="s">
        <v>725</v>
      </c>
      <c r="H46" s="77" t="s">
        <v>803</v>
      </c>
      <c r="I46" s="62"/>
      <c r="J46" s="70" t="s">
        <v>624</v>
      </c>
      <c r="K46" s="70"/>
      <c r="L46" s="62">
        <v>1</v>
      </c>
      <c r="M46" s="62"/>
      <c r="N46" s="62" t="s">
        <v>351</v>
      </c>
      <c r="O46" s="64"/>
      <c r="P46" s="62"/>
      <c r="Q46" s="71" t="s">
        <v>690</v>
      </c>
      <c r="R46" s="71"/>
      <c r="S46" s="71" t="s">
        <v>625</v>
      </c>
      <c r="T46" s="71" t="s">
        <v>626</v>
      </c>
      <c r="U46" s="74" t="s">
        <v>627</v>
      </c>
      <c r="V46" s="74"/>
      <c r="W46" s="65"/>
      <c r="X46" s="89">
        <v>0</v>
      </c>
      <c r="Y46" s="66">
        <v>0</v>
      </c>
      <c r="Z46" s="89">
        <f t="shared" si="0"/>
        <v>0</v>
      </c>
      <c r="AA46" s="93">
        <v>0</v>
      </c>
      <c r="AB46" s="98">
        <v>0</v>
      </c>
      <c r="AC46" s="102">
        <v>16.099999999999998</v>
      </c>
    </row>
    <row r="47" spans="1:29" s="58" customFormat="1" ht="18" customHeight="1" x14ac:dyDescent="0.2">
      <c r="A47" s="67" t="s">
        <v>500</v>
      </c>
      <c r="B47" s="67">
        <v>156273155</v>
      </c>
      <c r="C47" s="61" t="s">
        <v>501</v>
      </c>
      <c r="D47" s="62" t="s">
        <v>349</v>
      </c>
      <c r="E47" s="63" t="s">
        <v>502</v>
      </c>
      <c r="F47" s="62"/>
      <c r="G47" s="62" t="s">
        <v>328</v>
      </c>
      <c r="H47" s="76" t="s">
        <v>503</v>
      </c>
      <c r="I47" s="64"/>
      <c r="J47" s="62" t="s">
        <v>504</v>
      </c>
      <c r="K47" s="62"/>
      <c r="L47" s="62">
        <v>1</v>
      </c>
      <c r="M47" s="62"/>
      <c r="N47" s="62" t="s">
        <v>406</v>
      </c>
      <c r="O47" s="64"/>
      <c r="P47" s="75">
        <v>0</v>
      </c>
      <c r="Q47" s="62" t="s">
        <v>836</v>
      </c>
      <c r="R47" s="62">
        <v>77999446</v>
      </c>
      <c r="S47" s="62" t="s">
        <v>344</v>
      </c>
      <c r="T47" s="62" t="s">
        <v>505</v>
      </c>
      <c r="U47" s="67" t="s">
        <v>349</v>
      </c>
      <c r="V47" s="67"/>
      <c r="W47" s="65"/>
      <c r="X47" s="89">
        <v>0</v>
      </c>
      <c r="Y47" s="66">
        <v>0</v>
      </c>
      <c r="Z47" s="89">
        <f t="shared" si="0"/>
        <v>0</v>
      </c>
      <c r="AA47" s="93">
        <v>0</v>
      </c>
      <c r="AB47" s="98">
        <v>0</v>
      </c>
      <c r="AC47" s="102">
        <v>0</v>
      </c>
    </row>
    <row r="48" spans="1:29" s="58" customFormat="1" ht="18" customHeight="1" x14ac:dyDescent="0.2">
      <c r="A48" s="69" t="s">
        <v>643</v>
      </c>
      <c r="B48" s="69">
        <v>158149346</v>
      </c>
      <c r="C48" s="69" t="s">
        <v>1344</v>
      </c>
      <c r="D48" s="62" t="s">
        <v>442</v>
      </c>
      <c r="E48" s="63" t="s">
        <v>908</v>
      </c>
      <c r="F48" s="63"/>
      <c r="G48" s="62" t="s">
        <v>725</v>
      </c>
      <c r="H48" s="67"/>
      <c r="I48" s="63"/>
      <c r="J48" s="63"/>
      <c r="K48" s="63"/>
      <c r="L48" s="63"/>
      <c r="M48" s="63"/>
      <c r="N48" s="63"/>
      <c r="O48" s="63"/>
      <c r="P48" s="63"/>
      <c r="Q48" s="63" t="s">
        <v>690</v>
      </c>
      <c r="R48" s="63">
        <v>0</v>
      </c>
      <c r="S48" s="63"/>
      <c r="T48" s="63"/>
      <c r="U48" s="69"/>
      <c r="V48" s="69"/>
      <c r="W48" s="65"/>
      <c r="X48" s="89">
        <v>0</v>
      </c>
      <c r="Y48" s="66">
        <v>0</v>
      </c>
      <c r="Z48" s="89">
        <f t="shared" si="0"/>
        <v>0</v>
      </c>
      <c r="AA48" s="93">
        <v>0</v>
      </c>
      <c r="AB48" s="98">
        <v>0</v>
      </c>
      <c r="AC48" s="102">
        <v>0</v>
      </c>
    </row>
    <row r="49" spans="1:29" s="58" customFormat="1" ht="18" customHeight="1" x14ac:dyDescent="0.2">
      <c r="A49" s="67" t="s">
        <v>567</v>
      </c>
      <c r="B49" s="67" t="s">
        <v>1364</v>
      </c>
      <c r="C49" s="61" t="s">
        <v>212</v>
      </c>
      <c r="D49" s="62" t="s">
        <v>430</v>
      </c>
      <c r="E49" s="63" t="s">
        <v>573</v>
      </c>
      <c r="F49" s="62" t="s">
        <v>574</v>
      </c>
      <c r="G49" s="62" t="s">
        <v>633</v>
      </c>
      <c r="H49" s="67" t="s">
        <v>693</v>
      </c>
      <c r="I49" s="64"/>
      <c r="J49" s="62" t="s">
        <v>694</v>
      </c>
      <c r="K49" s="62"/>
      <c r="L49" s="62">
        <v>3</v>
      </c>
      <c r="M49" s="62"/>
      <c r="N49" s="62" t="s">
        <v>425</v>
      </c>
      <c r="O49" s="64"/>
      <c r="P49" s="62"/>
      <c r="Q49" s="62" t="s">
        <v>363</v>
      </c>
      <c r="R49" s="62" t="s">
        <v>695</v>
      </c>
      <c r="S49" s="62" t="s">
        <v>353</v>
      </c>
      <c r="T49" s="62" t="s">
        <v>575</v>
      </c>
      <c r="U49" s="67" t="s">
        <v>430</v>
      </c>
      <c r="V49" s="67"/>
      <c r="W49" s="65"/>
      <c r="X49" s="89">
        <v>216</v>
      </c>
      <c r="Y49" s="66">
        <v>125</v>
      </c>
      <c r="Z49" s="89">
        <f t="shared" si="0"/>
        <v>91</v>
      </c>
      <c r="AA49" s="93">
        <v>0.27500000000000002</v>
      </c>
      <c r="AB49" s="98">
        <v>3276750</v>
      </c>
      <c r="AC49" s="102">
        <v>124.19999999999999</v>
      </c>
    </row>
    <row r="50" spans="1:29" s="58" customFormat="1" ht="18" customHeight="1" x14ac:dyDescent="0.2">
      <c r="A50" s="67" t="s">
        <v>80</v>
      </c>
      <c r="B50" s="67">
        <v>168685009</v>
      </c>
      <c r="C50" s="61" t="s">
        <v>295</v>
      </c>
      <c r="D50" s="62" t="s">
        <v>1323</v>
      </c>
      <c r="E50" s="63" t="s">
        <v>534</v>
      </c>
      <c r="F50" s="62" t="s">
        <v>535</v>
      </c>
      <c r="G50" s="62" t="s">
        <v>286</v>
      </c>
      <c r="H50" s="67" t="s">
        <v>1205</v>
      </c>
      <c r="I50" s="64"/>
      <c r="J50" s="62" t="s">
        <v>1142</v>
      </c>
      <c r="K50" s="62" t="s">
        <v>1036</v>
      </c>
      <c r="L50" s="62">
        <v>1</v>
      </c>
      <c r="M50" s="62">
        <v>0</v>
      </c>
      <c r="N50" s="62" t="s">
        <v>340</v>
      </c>
      <c r="O50" s="64"/>
      <c r="P50" s="62"/>
      <c r="Q50" s="62" t="s">
        <v>836</v>
      </c>
      <c r="R50" s="62" t="s">
        <v>536</v>
      </c>
      <c r="S50" s="62" t="s">
        <v>344</v>
      </c>
      <c r="T50" s="62" t="s">
        <v>537</v>
      </c>
      <c r="U50" s="67" t="s">
        <v>457</v>
      </c>
      <c r="V50" s="67" t="s">
        <v>538</v>
      </c>
      <c r="W50" s="65"/>
      <c r="X50" s="89">
        <v>0</v>
      </c>
      <c r="Y50" s="66">
        <v>0</v>
      </c>
      <c r="Z50" s="89">
        <f t="shared" si="0"/>
        <v>0</v>
      </c>
      <c r="AA50" s="93">
        <v>0</v>
      </c>
      <c r="AB50" s="98">
        <v>0</v>
      </c>
      <c r="AC50" s="102">
        <v>0</v>
      </c>
    </row>
    <row r="51" spans="1:29" s="58" customFormat="1" ht="18" customHeight="1" x14ac:dyDescent="0.2">
      <c r="A51" s="67" t="s">
        <v>61</v>
      </c>
      <c r="B51" s="67">
        <v>182824534</v>
      </c>
      <c r="C51" s="61" t="s">
        <v>203</v>
      </c>
      <c r="D51" s="62" t="s">
        <v>430</v>
      </c>
      <c r="E51" s="63" t="s">
        <v>204</v>
      </c>
      <c r="F51" s="62" t="s">
        <v>1265</v>
      </c>
      <c r="G51" s="62" t="s">
        <v>633</v>
      </c>
      <c r="H51" s="67" t="s">
        <v>1206</v>
      </c>
      <c r="I51" s="64"/>
      <c r="J51" s="62" t="s">
        <v>1143</v>
      </c>
      <c r="K51" s="62" t="s">
        <v>1036</v>
      </c>
      <c r="L51" s="62">
        <v>3</v>
      </c>
      <c r="M51" s="62">
        <v>0</v>
      </c>
      <c r="N51" s="62" t="s">
        <v>425</v>
      </c>
      <c r="O51" s="64"/>
      <c r="P51" s="62"/>
      <c r="Q51" s="62" t="s">
        <v>836</v>
      </c>
      <c r="R51" s="62"/>
      <c r="S51" s="62" t="s">
        <v>353</v>
      </c>
      <c r="T51" s="62" t="s">
        <v>429</v>
      </c>
      <c r="U51" s="67" t="s">
        <v>430</v>
      </c>
      <c r="V51" s="67"/>
      <c r="W51" s="65"/>
      <c r="X51" s="89">
        <v>0</v>
      </c>
      <c r="Y51" s="66">
        <v>0</v>
      </c>
      <c r="Z51" s="89">
        <f t="shared" si="0"/>
        <v>0</v>
      </c>
      <c r="AA51" s="93">
        <v>0</v>
      </c>
      <c r="AB51" s="98">
        <v>0</v>
      </c>
      <c r="AC51" s="102">
        <v>0</v>
      </c>
    </row>
    <row r="52" spans="1:29" s="58" customFormat="1" ht="18" customHeight="1" x14ac:dyDescent="0.2">
      <c r="A52" s="69" t="s">
        <v>652</v>
      </c>
      <c r="B52" s="69">
        <v>38776460</v>
      </c>
      <c r="C52" s="69" t="s">
        <v>650</v>
      </c>
      <c r="D52" s="62" t="s">
        <v>651</v>
      </c>
      <c r="E52" s="63" t="s">
        <v>825</v>
      </c>
      <c r="F52" s="63">
        <v>942948977</v>
      </c>
      <c r="G52" s="62" t="s">
        <v>328</v>
      </c>
      <c r="H52" s="77" t="s">
        <v>826</v>
      </c>
      <c r="I52" s="63"/>
      <c r="J52" s="63"/>
      <c r="K52" s="63"/>
      <c r="L52" s="63">
        <v>1</v>
      </c>
      <c r="M52" s="63"/>
      <c r="N52" s="63" t="s">
        <v>446</v>
      </c>
      <c r="O52" s="63"/>
      <c r="P52" s="63"/>
      <c r="Q52" s="63" t="s">
        <v>690</v>
      </c>
      <c r="R52" s="63">
        <v>0</v>
      </c>
      <c r="S52" s="63"/>
      <c r="T52" s="63" t="s">
        <v>827</v>
      </c>
      <c r="U52" s="69" t="s">
        <v>651</v>
      </c>
      <c r="V52" s="69"/>
      <c r="W52" s="65"/>
      <c r="X52" s="89">
        <v>0</v>
      </c>
      <c r="Y52" s="66">
        <v>0</v>
      </c>
      <c r="Z52" s="89">
        <f t="shared" si="0"/>
        <v>0</v>
      </c>
      <c r="AA52" s="93">
        <v>0</v>
      </c>
      <c r="AB52" s="98">
        <v>0</v>
      </c>
      <c r="AC52" s="102">
        <v>0</v>
      </c>
    </row>
    <row r="53" spans="1:29" s="58" customFormat="1" ht="18" customHeight="1" x14ac:dyDescent="0.2">
      <c r="A53" s="67" t="s">
        <v>74</v>
      </c>
      <c r="B53" s="67" t="s">
        <v>1365</v>
      </c>
      <c r="C53" s="61" t="s">
        <v>1345</v>
      </c>
      <c r="D53" s="62" t="s">
        <v>381</v>
      </c>
      <c r="E53" s="61" t="s">
        <v>273</v>
      </c>
      <c r="F53" s="62" t="s">
        <v>1266</v>
      </c>
      <c r="G53" s="62" t="s">
        <v>328</v>
      </c>
      <c r="H53" s="67" t="s">
        <v>1207</v>
      </c>
      <c r="I53" s="62"/>
      <c r="J53" s="70"/>
      <c r="K53" s="70"/>
      <c r="L53" s="62">
        <v>3</v>
      </c>
      <c r="M53" s="62"/>
      <c r="N53" s="62" t="s">
        <v>351</v>
      </c>
      <c r="O53" s="64"/>
      <c r="P53" s="62"/>
      <c r="Q53" s="71" t="s">
        <v>815</v>
      </c>
      <c r="R53" s="71"/>
      <c r="S53" s="71"/>
      <c r="T53" s="71"/>
      <c r="U53" s="74"/>
      <c r="V53" s="74"/>
      <c r="W53" s="65"/>
      <c r="X53" s="89">
        <v>92</v>
      </c>
      <c r="Y53" s="66">
        <v>69</v>
      </c>
      <c r="Z53" s="89">
        <f t="shared" si="0"/>
        <v>23</v>
      </c>
      <c r="AA53" s="93">
        <v>0.8441558441558441</v>
      </c>
      <c r="AB53" s="98">
        <v>1740310</v>
      </c>
      <c r="AC53" s="102">
        <v>114.99999999999999</v>
      </c>
    </row>
    <row r="54" spans="1:29" s="58" customFormat="1" ht="18" customHeight="1" x14ac:dyDescent="0.2">
      <c r="A54" s="67" t="s">
        <v>611</v>
      </c>
      <c r="B54" s="67">
        <v>72952936</v>
      </c>
      <c r="C54" s="61" t="s">
        <v>249</v>
      </c>
      <c r="D54" s="62" t="s">
        <v>949</v>
      </c>
      <c r="E54" s="61" t="s">
        <v>250</v>
      </c>
      <c r="F54" s="62" t="s">
        <v>612</v>
      </c>
      <c r="G54" s="62" t="s">
        <v>328</v>
      </c>
      <c r="H54" s="67" t="s">
        <v>1208</v>
      </c>
      <c r="I54" s="62"/>
      <c r="J54" s="64" t="s">
        <v>1144</v>
      </c>
      <c r="K54" s="70"/>
      <c r="L54" s="62"/>
      <c r="M54" s="62"/>
      <c r="N54" s="62" t="s">
        <v>351</v>
      </c>
      <c r="O54" s="64"/>
      <c r="P54" s="62"/>
      <c r="Q54" s="71" t="s">
        <v>836</v>
      </c>
      <c r="R54" s="71"/>
      <c r="S54" s="71"/>
      <c r="T54" s="71"/>
      <c r="U54" s="74"/>
      <c r="V54" s="67" t="s">
        <v>613</v>
      </c>
      <c r="W54" s="65"/>
      <c r="X54" s="89">
        <v>104</v>
      </c>
      <c r="Y54" s="66">
        <v>93</v>
      </c>
      <c r="Z54" s="89">
        <f t="shared" si="0"/>
        <v>11</v>
      </c>
      <c r="AA54" s="93">
        <v>0.71212121212121215</v>
      </c>
      <c r="AB54" s="98">
        <v>2418070</v>
      </c>
      <c r="AC54" s="102">
        <v>117.3</v>
      </c>
    </row>
    <row r="55" spans="1:29" s="58" customFormat="1" ht="18" customHeight="1" x14ac:dyDescent="0.2">
      <c r="A55" s="69" t="s">
        <v>655</v>
      </c>
      <c r="B55" s="69">
        <v>75099215</v>
      </c>
      <c r="C55" s="69" t="s">
        <v>1346</v>
      </c>
      <c r="D55" s="62" t="s">
        <v>656</v>
      </c>
      <c r="E55" s="63" t="s">
        <v>863</v>
      </c>
      <c r="F55" s="63">
        <v>976689778</v>
      </c>
      <c r="G55" s="62" t="s">
        <v>328</v>
      </c>
      <c r="H55" s="77" t="s">
        <v>864</v>
      </c>
      <c r="I55" s="63"/>
      <c r="J55" s="63" t="s">
        <v>865</v>
      </c>
      <c r="K55" s="63" t="s">
        <v>366</v>
      </c>
      <c r="L55" s="63">
        <v>1</v>
      </c>
      <c r="M55" s="63"/>
      <c r="N55" s="63" t="s">
        <v>343</v>
      </c>
      <c r="O55" s="63"/>
      <c r="P55" s="63"/>
      <c r="Q55" s="63" t="s">
        <v>690</v>
      </c>
      <c r="R55" s="63">
        <v>0</v>
      </c>
      <c r="S55" s="63"/>
      <c r="T55" s="63" t="s">
        <v>866</v>
      </c>
      <c r="U55" s="69" t="s">
        <v>656</v>
      </c>
      <c r="V55" s="69"/>
      <c r="W55" s="65"/>
      <c r="X55" s="89">
        <v>166</v>
      </c>
      <c r="Y55" s="66">
        <v>163</v>
      </c>
      <c r="Z55" s="89">
        <f t="shared" si="0"/>
        <v>3</v>
      </c>
      <c r="AA55" s="93">
        <v>0.69696969696969702</v>
      </c>
      <c r="AB55" s="98">
        <v>4135370</v>
      </c>
      <c r="AC55" s="102">
        <v>181.7</v>
      </c>
    </row>
    <row r="56" spans="1:29" s="58" customFormat="1" ht="18" customHeight="1" x14ac:dyDescent="0.2">
      <c r="A56" s="67" t="s">
        <v>49</v>
      </c>
      <c r="B56" s="67" t="s">
        <v>1366</v>
      </c>
      <c r="C56" s="61" t="s">
        <v>167</v>
      </c>
      <c r="D56" s="62" t="s">
        <v>1324</v>
      </c>
      <c r="E56" s="63" t="s">
        <v>168</v>
      </c>
      <c r="F56" s="62" t="s">
        <v>1267</v>
      </c>
      <c r="G56" s="62" t="s">
        <v>328</v>
      </c>
      <c r="H56" s="67" t="s">
        <v>1209</v>
      </c>
      <c r="I56" s="64"/>
      <c r="J56" s="62" t="s">
        <v>1145</v>
      </c>
      <c r="K56" s="62" t="s">
        <v>1118</v>
      </c>
      <c r="L56" s="62">
        <v>1</v>
      </c>
      <c r="M56" s="62">
        <v>0</v>
      </c>
      <c r="N56" s="62"/>
      <c r="O56" s="64"/>
      <c r="P56" s="62"/>
      <c r="Q56" s="62" t="s">
        <v>836</v>
      </c>
      <c r="R56" s="62"/>
      <c r="S56" s="62"/>
      <c r="T56" s="62"/>
      <c r="U56" s="67"/>
      <c r="V56" s="67" t="s">
        <v>101</v>
      </c>
      <c r="W56" s="65"/>
      <c r="X56" s="89">
        <v>0</v>
      </c>
      <c r="Y56" s="66">
        <v>0</v>
      </c>
      <c r="Z56" s="89">
        <f t="shared" si="0"/>
        <v>0</v>
      </c>
      <c r="AA56" s="93">
        <v>0</v>
      </c>
      <c r="AB56" s="98">
        <v>0</v>
      </c>
      <c r="AC56" s="102">
        <v>0</v>
      </c>
    </row>
    <row r="57" spans="1:29" s="59" customFormat="1" ht="18" customHeight="1" x14ac:dyDescent="0.2">
      <c r="A57" s="67" t="s">
        <v>71</v>
      </c>
      <c r="B57" s="67">
        <v>760078239</v>
      </c>
      <c r="C57" s="61" t="s">
        <v>636</v>
      </c>
      <c r="D57" s="62" t="s">
        <v>384</v>
      </c>
      <c r="E57" s="63" t="s">
        <v>248</v>
      </c>
      <c r="F57" s="62" t="s">
        <v>1268</v>
      </c>
      <c r="G57" s="62" t="s">
        <v>328</v>
      </c>
      <c r="H57" s="67" t="s">
        <v>1210</v>
      </c>
      <c r="I57" s="64"/>
      <c r="J57" s="62" t="s">
        <v>1146</v>
      </c>
      <c r="K57" s="64" t="s">
        <v>140</v>
      </c>
      <c r="L57" s="62">
        <v>3</v>
      </c>
      <c r="M57" s="62">
        <v>0</v>
      </c>
      <c r="N57" s="62" t="s">
        <v>351</v>
      </c>
      <c r="O57" s="64"/>
      <c r="P57" s="62"/>
      <c r="Q57" s="62" t="s">
        <v>836</v>
      </c>
      <c r="R57" s="62"/>
      <c r="S57" s="62" t="s">
        <v>382</v>
      </c>
      <c r="T57" s="62" t="s">
        <v>383</v>
      </c>
      <c r="U57" s="67" t="s">
        <v>384</v>
      </c>
      <c r="V57" s="67"/>
      <c r="W57" s="65"/>
      <c r="X57" s="89">
        <v>0</v>
      </c>
      <c r="Y57" s="66">
        <v>0</v>
      </c>
      <c r="Z57" s="89">
        <f t="shared" si="0"/>
        <v>0</v>
      </c>
      <c r="AA57" s="93">
        <v>0</v>
      </c>
      <c r="AB57" s="98">
        <v>0</v>
      </c>
      <c r="AC57" s="102">
        <v>0</v>
      </c>
    </row>
    <row r="58" spans="1:29" s="58" customFormat="1" ht="18" customHeight="1" x14ac:dyDescent="0.2">
      <c r="A58" s="67" t="s">
        <v>70</v>
      </c>
      <c r="B58" s="67">
        <v>760131962</v>
      </c>
      <c r="C58" s="61" t="s">
        <v>246</v>
      </c>
      <c r="D58" s="62" t="s">
        <v>1322</v>
      </c>
      <c r="E58" s="63" t="s">
        <v>247</v>
      </c>
      <c r="F58" s="62" t="s">
        <v>1269</v>
      </c>
      <c r="G58" s="62" t="s">
        <v>328</v>
      </c>
      <c r="H58" s="76" t="s">
        <v>1211</v>
      </c>
      <c r="I58" s="64"/>
      <c r="J58" s="62" t="s">
        <v>1147</v>
      </c>
      <c r="K58" s="64" t="s">
        <v>103</v>
      </c>
      <c r="L58" s="62">
        <v>3</v>
      </c>
      <c r="M58" s="62">
        <v>0</v>
      </c>
      <c r="N58" s="62" t="s">
        <v>385</v>
      </c>
      <c r="O58" s="64"/>
      <c r="P58" s="62"/>
      <c r="Q58" s="62" t="s">
        <v>690</v>
      </c>
      <c r="R58" s="62"/>
      <c r="S58" s="62" t="s">
        <v>344</v>
      </c>
      <c r="T58" s="62"/>
      <c r="U58" s="67" t="s">
        <v>324</v>
      </c>
      <c r="V58" s="67"/>
      <c r="W58" s="65"/>
      <c r="X58" s="89">
        <v>83</v>
      </c>
      <c r="Y58" s="66">
        <v>96</v>
      </c>
      <c r="Z58" s="89">
        <f t="shared" si="0"/>
        <v>-13</v>
      </c>
      <c r="AA58" s="93">
        <v>0.81481481481481477</v>
      </c>
      <c r="AB58" s="98">
        <v>2446040</v>
      </c>
      <c r="AC58" s="102">
        <v>44.849999999999994</v>
      </c>
    </row>
    <row r="59" spans="1:29" s="58" customFormat="1" ht="18" customHeight="1" x14ac:dyDescent="0.2">
      <c r="A59" s="67" t="s">
        <v>47</v>
      </c>
      <c r="B59" s="67">
        <v>760176303</v>
      </c>
      <c r="C59" s="61" t="s">
        <v>637</v>
      </c>
      <c r="D59" s="62" t="s">
        <v>1316</v>
      </c>
      <c r="E59" s="63" t="s">
        <v>161</v>
      </c>
      <c r="F59" s="62" t="s">
        <v>1270</v>
      </c>
      <c r="G59" s="62" t="s">
        <v>328</v>
      </c>
      <c r="H59" s="67" t="s">
        <v>1212</v>
      </c>
      <c r="I59" s="64"/>
      <c r="J59" s="62" t="s">
        <v>104</v>
      </c>
      <c r="K59" s="62" t="s">
        <v>103</v>
      </c>
      <c r="L59" s="62">
        <v>1</v>
      </c>
      <c r="M59" s="62">
        <v>0</v>
      </c>
      <c r="N59" s="62" t="s">
        <v>111</v>
      </c>
      <c r="O59" s="64"/>
      <c r="P59" s="75">
        <v>0.05</v>
      </c>
      <c r="Q59" s="62" t="s">
        <v>940</v>
      </c>
      <c r="R59" s="62"/>
      <c r="S59" s="62" t="s">
        <v>112</v>
      </c>
      <c r="T59" s="62" t="s">
        <v>113</v>
      </c>
      <c r="U59" s="67" t="s">
        <v>367</v>
      </c>
      <c r="V59" s="67" t="s">
        <v>116</v>
      </c>
      <c r="W59" s="65"/>
      <c r="X59" s="89">
        <v>364</v>
      </c>
      <c r="Y59" s="66">
        <v>356</v>
      </c>
      <c r="Z59" s="89">
        <f t="shared" si="0"/>
        <v>8</v>
      </c>
      <c r="AA59" s="93">
        <v>0</v>
      </c>
      <c r="AB59" s="98">
        <v>9174440</v>
      </c>
      <c r="AC59" s="102">
        <v>0</v>
      </c>
    </row>
    <row r="60" spans="1:29" s="58" customFormat="1" ht="18" customHeight="1" x14ac:dyDescent="0.2">
      <c r="A60" s="67" t="s">
        <v>47</v>
      </c>
      <c r="B60" s="67">
        <v>760176303</v>
      </c>
      <c r="C60" s="61" t="s">
        <v>1347</v>
      </c>
      <c r="D60" s="62" t="s">
        <v>404</v>
      </c>
      <c r="E60" s="63" t="s">
        <v>517</v>
      </c>
      <c r="F60" s="62" t="s">
        <v>518</v>
      </c>
      <c r="G60" s="62" t="s">
        <v>328</v>
      </c>
      <c r="H60" s="76" t="s">
        <v>460</v>
      </c>
      <c r="I60" s="64"/>
      <c r="J60" s="62" t="s">
        <v>461</v>
      </c>
      <c r="K60" s="62" t="s">
        <v>519</v>
      </c>
      <c r="L60" s="62">
        <v>2</v>
      </c>
      <c r="M60" s="62"/>
      <c r="N60" s="62" t="s">
        <v>111</v>
      </c>
      <c r="O60" s="64"/>
      <c r="P60" s="62"/>
      <c r="Q60" s="62" t="s">
        <v>941</v>
      </c>
      <c r="R60" s="62"/>
      <c r="S60" s="62" t="s">
        <v>112</v>
      </c>
      <c r="T60" s="62" t="s">
        <v>113</v>
      </c>
      <c r="U60" s="67" t="s">
        <v>404</v>
      </c>
      <c r="V60" s="67"/>
      <c r="W60" s="65"/>
      <c r="X60" s="89">
        <v>364</v>
      </c>
      <c r="Y60" s="66">
        <v>356</v>
      </c>
      <c r="Z60" s="89">
        <f t="shared" si="0"/>
        <v>8</v>
      </c>
      <c r="AA60" s="93">
        <v>0</v>
      </c>
      <c r="AB60" s="98">
        <v>9174440</v>
      </c>
      <c r="AC60" s="102">
        <v>0</v>
      </c>
    </row>
    <row r="61" spans="1:29" s="58" customFormat="1" ht="18" customHeight="1" x14ac:dyDescent="0.2">
      <c r="A61" s="67" t="s">
        <v>43</v>
      </c>
      <c r="B61" s="67">
        <v>760484040</v>
      </c>
      <c r="C61" s="61" t="s">
        <v>150</v>
      </c>
      <c r="D61" s="62" t="s">
        <v>1325</v>
      </c>
      <c r="E61" s="63" t="s">
        <v>151</v>
      </c>
      <c r="F61" s="62" t="s">
        <v>1271</v>
      </c>
      <c r="G61" s="62" t="s">
        <v>328</v>
      </c>
      <c r="H61" s="67" t="s">
        <v>1213</v>
      </c>
      <c r="I61" s="64"/>
      <c r="J61" s="62" t="s">
        <v>1148</v>
      </c>
      <c r="K61" s="62" t="s">
        <v>1036</v>
      </c>
      <c r="L61" s="62">
        <v>3</v>
      </c>
      <c r="M61" s="62">
        <v>0</v>
      </c>
      <c r="N61" s="62" t="s">
        <v>506</v>
      </c>
      <c r="O61" s="64"/>
      <c r="P61" s="62"/>
      <c r="Q61" s="62" t="s">
        <v>507</v>
      </c>
      <c r="R61" s="62">
        <v>88668259</v>
      </c>
      <c r="S61" s="62" t="s">
        <v>508</v>
      </c>
      <c r="T61" s="62" t="s">
        <v>509</v>
      </c>
      <c r="U61" s="67" t="s">
        <v>510</v>
      </c>
      <c r="V61" s="67" t="s">
        <v>152</v>
      </c>
      <c r="W61" s="65"/>
      <c r="X61" s="89">
        <v>60</v>
      </c>
      <c r="Y61" s="66">
        <v>44</v>
      </c>
      <c r="Z61" s="89">
        <f t="shared" si="0"/>
        <v>16</v>
      </c>
      <c r="AA61" s="93">
        <v>0</v>
      </c>
      <c r="AB61" s="98">
        <v>1099560</v>
      </c>
      <c r="AC61" s="102">
        <v>6.8999999999999995</v>
      </c>
    </row>
    <row r="62" spans="1:29" s="58" customFormat="1" ht="18" customHeight="1" x14ac:dyDescent="0.2">
      <c r="A62" s="67" t="s">
        <v>66</v>
      </c>
      <c r="B62" s="67">
        <v>760498424</v>
      </c>
      <c r="C62" s="61" t="s">
        <v>223</v>
      </c>
      <c r="D62" s="62" t="s">
        <v>1326</v>
      </c>
      <c r="E62" s="63" t="s">
        <v>224</v>
      </c>
      <c r="F62" s="62" t="s">
        <v>1272</v>
      </c>
      <c r="G62" s="62" t="s">
        <v>328</v>
      </c>
      <c r="H62" s="77" t="s">
        <v>797</v>
      </c>
      <c r="I62" s="64"/>
      <c r="J62" s="62" t="s">
        <v>870</v>
      </c>
      <c r="K62" s="62" t="s">
        <v>1036</v>
      </c>
      <c r="L62" s="62">
        <v>2</v>
      </c>
      <c r="M62" s="62">
        <v>0</v>
      </c>
      <c r="N62" s="62" t="s">
        <v>799</v>
      </c>
      <c r="O62" s="64"/>
      <c r="P62" s="75">
        <v>0.05</v>
      </c>
      <c r="Q62" s="62" t="s">
        <v>798</v>
      </c>
      <c r="R62" s="62"/>
      <c r="S62" s="62" t="s">
        <v>112</v>
      </c>
      <c r="T62" s="62" t="s">
        <v>871</v>
      </c>
      <c r="U62" s="67" t="s">
        <v>445</v>
      </c>
      <c r="V62" s="67"/>
      <c r="W62" s="65"/>
      <c r="X62" s="89">
        <v>1292</v>
      </c>
      <c r="Y62" s="66">
        <v>1159</v>
      </c>
      <c r="Z62" s="89">
        <f t="shared" si="0"/>
        <v>133</v>
      </c>
      <c r="AA62" s="93">
        <v>0.94388777555110226</v>
      </c>
      <c r="AB62" s="98">
        <v>29769410</v>
      </c>
      <c r="AC62" s="102">
        <v>637.09999999999991</v>
      </c>
    </row>
    <row r="63" spans="1:29" s="58" customFormat="1" ht="18" customHeight="1" x14ac:dyDescent="0.2">
      <c r="A63" s="67" t="s">
        <v>87</v>
      </c>
      <c r="B63" s="67">
        <v>760678872</v>
      </c>
      <c r="C63" s="61" t="s">
        <v>322</v>
      </c>
      <c r="D63" s="62" t="s">
        <v>1327</v>
      </c>
      <c r="E63" s="63" t="s">
        <v>323</v>
      </c>
      <c r="F63" s="62" t="s">
        <v>1273</v>
      </c>
      <c r="G63" s="62" t="s">
        <v>328</v>
      </c>
      <c r="H63" s="67" t="s">
        <v>1214</v>
      </c>
      <c r="I63" s="64"/>
      <c r="J63" s="62" t="s">
        <v>1036</v>
      </c>
      <c r="K63" s="62" t="s">
        <v>1036</v>
      </c>
      <c r="L63" s="62">
        <v>3</v>
      </c>
      <c r="M63" s="62">
        <v>0</v>
      </c>
      <c r="N63" s="62" t="s">
        <v>385</v>
      </c>
      <c r="O63" s="64"/>
      <c r="P63" s="62"/>
      <c r="Q63" s="62" t="s">
        <v>836</v>
      </c>
      <c r="R63" s="62"/>
      <c r="S63" s="62" t="s">
        <v>344</v>
      </c>
      <c r="T63" s="62"/>
      <c r="U63" s="67" t="str">
        <f>D63</f>
        <v xml:space="preserve">SAN CARLOS  </v>
      </c>
      <c r="V63" s="67"/>
      <c r="W63" s="65"/>
      <c r="X63" s="89">
        <v>169</v>
      </c>
      <c r="Y63" s="66">
        <v>146</v>
      </c>
      <c r="Z63" s="89">
        <f t="shared" si="0"/>
        <v>23</v>
      </c>
      <c r="AA63" s="93">
        <v>0</v>
      </c>
      <c r="AB63" s="98">
        <v>3709540</v>
      </c>
      <c r="AC63" s="102">
        <v>0</v>
      </c>
    </row>
    <row r="64" spans="1:29" s="58" customFormat="1" ht="18" customHeight="1" x14ac:dyDescent="0.2">
      <c r="A64" s="67" t="s">
        <v>36</v>
      </c>
      <c r="B64" s="67">
        <v>760722243</v>
      </c>
      <c r="C64" s="61" t="s">
        <v>122</v>
      </c>
      <c r="D64" s="62" t="s">
        <v>330</v>
      </c>
      <c r="E64" s="63" t="s">
        <v>123</v>
      </c>
      <c r="F64" s="62" t="s">
        <v>1274</v>
      </c>
      <c r="G64" s="62" t="s">
        <v>328</v>
      </c>
      <c r="H64" s="67" t="s">
        <v>1215</v>
      </c>
      <c r="I64" s="64"/>
      <c r="J64" s="62" t="s">
        <v>1036</v>
      </c>
      <c r="K64" s="62" t="s">
        <v>103</v>
      </c>
      <c r="L64" s="62">
        <v>3</v>
      </c>
      <c r="M64" s="62">
        <v>0</v>
      </c>
      <c r="N64" s="62"/>
      <c r="O64" s="64"/>
      <c r="P64" s="62"/>
      <c r="Q64" s="62" t="s">
        <v>836</v>
      </c>
      <c r="R64" s="62"/>
      <c r="S64" s="62" t="s">
        <v>112</v>
      </c>
      <c r="T64" s="62"/>
      <c r="U64" s="67" t="s">
        <v>330</v>
      </c>
      <c r="V64" s="67"/>
      <c r="W64" s="65"/>
      <c r="X64" s="89">
        <v>0</v>
      </c>
      <c r="Y64" s="66">
        <v>0</v>
      </c>
      <c r="Z64" s="89">
        <f t="shared" si="0"/>
        <v>0</v>
      </c>
      <c r="AA64" s="93">
        <v>0</v>
      </c>
      <c r="AB64" s="98">
        <v>0</v>
      </c>
      <c r="AC64" s="102">
        <v>0</v>
      </c>
    </row>
    <row r="65" spans="1:29" s="58" customFormat="1" ht="18" customHeight="1" x14ac:dyDescent="0.2">
      <c r="A65" s="67" t="s">
        <v>482</v>
      </c>
      <c r="B65" s="67">
        <v>760785172</v>
      </c>
      <c r="C65" s="61" t="s">
        <v>483</v>
      </c>
      <c r="D65" s="62" t="s">
        <v>1317</v>
      </c>
      <c r="E65" s="63" t="s">
        <v>484</v>
      </c>
      <c r="F65" s="62" t="s">
        <v>485</v>
      </c>
      <c r="G65" s="62" t="s">
        <v>328</v>
      </c>
      <c r="H65" s="76" t="s">
        <v>486</v>
      </c>
      <c r="I65" s="64"/>
      <c r="J65" s="62" t="s">
        <v>487</v>
      </c>
      <c r="K65" s="62" t="s">
        <v>366</v>
      </c>
      <c r="L65" s="62"/>
      <c r="M65" s="62"/>
      <c r="N65" s="62" t="s">
        <v>488</v>
      </c>
      <c r="O65" s="64"/>
      <c r="P65" s="62"/>
      <c r="Q65" s="62" t="s">
        <v>836</v>
      </c>
      <c r="R65" s="62">
        <v>98248393</v>
      </c>
      <c r="S65" s="62" t="s">
        <v>344</v>
      </c>
      <c r="T65" s="62" t="s">
        <v>489</v>
      </c>
      <c r="U65" s="67" t="s">
        <v>362</v>
      </c>
      <c r="V65" s="67"/>
      <c r="W65" s="65"/>
      <c r="X65" s="89">
        <v>0</v>
      </c>
      <c r="Y65" s="66">
        <v>0</v>
      </c>
      <c r="Z65" s="89">
        <f t="shared" si="0"/>
        <v>0</v>
      </c>
      <c r="AA65" s="93">
        <v>0</v>
      </c>
      <c r="AB65" s="98">
        <v>0</v>
      </c>
      <c r="AC65" s="102">
        <v>0</v>
      </c>
    </row>
    <row r="66" spans="1:29" s="58" customFormat="1" ht="18" customHeight="1" x14ac:dyDescent="0.2">
      <c r="A66" s="67" t="s">
        <v>58</v>
      </c>
      <c r="B66" s="67">
        <v>760791865</v>
      </c>
      <c r="C66" s="61" t="s">
        <v>193</v>
      </c>
      <c r="D66" s="62" t="s">
        <v>423</v>
      </c>
      <c r="E66" s="61" t="s">
        <v>194</v>
      </c>
      <c r="F66" s="62" t="s">
        <v>1275</v>
      </c>
      <c r="G66" s="62" t="s">
        <v>1238</v>
      </c>
      <c r="H66" s="67" t="s">
        <v>614</v>
      </c>
      <c r="I66" s="62"/>
      <c r="J66" s="64" t="s">
        <v>1149</v>
      </c>
      <c r="K66" s="70"/>
      <c r="L66" s="62">
        <v>3</v>
      </c>
      <c r="M66" s="62"/>
      <c r="N66" s="62" t="s">
        <v>412</v>
      </c>
      <c r="O66" s="64"/>
      <c r="P66" s="62"/>
      <c r="Q66" s="71" t="s">
        <v>363</v>
      </c>
      <c r="R66" s="71" t="s">
        <v>697</v>
      </c>
      <c r="S66" s="71"/>
      <c r="T66" s="71"/>
      <c r="U66" s="74"/>
      <c r="V66" s="67" t="s">
        <v>698</v>
      </c>
      <c r="W66" s="65"/>
      <c r="X66" s="89">
        <v>143</v>
      </c>
      <c r="Y66" s="66">
        <v>74</v>
      </c>
      <c r="Z66" s="89">
        <f t="shared" si="0"/>
        <v>69</v>
      </c>
      <c r="AA66" s="93">
        <v>0.48571428571428571</v>
      </c>
      <c r="AB66" s="98">
        <v>1904260</v>
      </c>
      <c r="AC66" s="102">
        <v>95.449999999999989</v>
      </c>
    </row>
    <row r="67" spans="1:29" s="58" customFormat="1" ht="18" customHeight="1" x14ac:dyDescent="0.2">
      <c r="A67" s="67" t="s">
        <v>79</v>
      </c>
      <c r="B67" s="67">
        <v>760909491</v>
      </c>
      <c r="C67" s="61" t="s">
        <v>1348</v>
      </c>
      <c r="D67" s="62" t="s">
        <v>1319</v>
      </c>
      <c r="E67" s="63" t="s">
        <v>284</v>
      </c>
      <c r="F67" s="62" t="s">
        <v>1276</v>
      </c>
      <c r="G67" s="62" t="s">
        <v>328</v>
      </c>
      <c r="H67" s="67" t="s">
        <v>285</v>
      </c>
      <c r="I67" s="64"/>
      <c r="J67" s="62" t="s">
        <v>1150</v>
      </c>
      <c r="K67" s="62"/>
      <c r="L67" s="62"/>
      <c r="M67" s="62"/>
      <c r="N67" s="62" t="s">
        <v>340</v>
      </c>
      <c r="O67" s="64"/>
      <c r="P67" s="62"/>
      <c r="Q67" s="62" t="s">
        <v>836</v>
      </c>
      <c r="R67" s="62"/>
      <c r="S67" s="62" t="s">
        <v>344</v>
      </c>
      <c r="T67" s="62" t="s">
        <v>386</v>
      </c>
      <c r="U67" s="67" t="s">
        <v>377</v>
      </c>
      <c r="V67" s="67"/>
      <c r="W67" s="65"/>
      <c r="X67" s="89">
        <v>0</v>
      </c>
      <c r="Y67" s="66">
        <v>0</v>
      </c>
      <c r="Z67" s="89">
        <f t="shared" si="0"/>
        <v>0</v>
      </c>
      <c r="AA67" s="93">
        <v>0</v>
      </c>
      <c r="AB67" s="98">
        <v>0</v>
      </c>
      <c r="AC67" s="102">
        <v>0</v>
      </c>
    </row>
    <row r="68" spans="1:29" s="58" customFormat="1" ht="18" customHeight="1" x14ac:dyDescent="0.2">
      <c r="A68" s="67" t="s">
        <v>64</v>
      </c>
      <c r="B68" s="67">
        <v>760993476</v>
      </c>
      <c r="C68" s="61" t="s">
        <v>219</v>
      </c>
      <c r="D68" s="62" t="s">
        <v>1328</v>
      </c>
      <c r="E68" s="63" t="s">
        <v>840</v>
      </c>
      <c r="F68" s="62">
        <v>989226623</v>
      </c>
      <c r="G68" s="62" t="s">
        <v>725</v>
      </c>
      <c r="H68" s="67" t="s">
        <v>1216</v>
      </c>
      <c r="I68" s="64"/>
      <c r="J68" s="62" t="s">
        <v>1151</v>
      </c>
      <c r="K68" s="62" t="s">
        <v>1119</v>
      </c>
      <c r="L68" s="62">
        <v>1</v>
      </c>
      <c r="M68" s="62">
        <v>0</v>
      </c>
      <c r="N68" s="62" t="s">
        <v>841</v>
      </c>
      <c r="O68" s="64"/>
      <c r="P68" s="62"/>
      <c r="Q68" s="62" t="s">
        <v>690</v>
      </c>
      <c r="R68" s="62"/>
      <c r="S68" s="62" t="s">
        <v>344</v>
      </c>
      <c r="T68" s="62" t="s">
        <v>443</v>
      </c>
      <c r="U68" s="67" t="s">
        <v>442</v>
      </c>
      <c r="V68" s="67"/>
      <c r="W68" s="65"/>
      <c r="X68" s="89">
        <v>79</v>
      </c>
      <c r="Y68" s="66">
        <v>51</v>
      </c>
      <c r="Z68" s="89">
        <f t="shared" si="0"/>
        <v>28</v>
      </c>
      <c r="AA68" s="93">
        <v>0.44927536231884058</v>
      </c>
      <c r="AB68" s="98">
        <v>1280490</v>
      </c>
      <c r="AC68" s="102">
        <v>70.149999999999991</v>
      </c>
    </row>
    <row r="69" spans="1:29" s="58" customFormat="1" ht="18" customHeight="1" x14ac:dyDescent="0.2">
      <c r="A69" s="67" t="s">
        <v>56</v>
      </c>
      <c r="B69" s="67">
        <v>761212206</v>
      </c>
      <c r="C69" s="61" t="s">
        <v>189</v>
      </c>
      <c r="D69" s="62" t="s">
        <v>419</v>
      </c>
      <c r="E69" s="63" t="s">
        <v>190</v>
      </c>
      <c r="F69" s="62" t="s">
        <v>1277</v>
      </c>
      <c r="G69" s="62" t="s">
        <v>633</v>
      </c>
      <c r="H69" s="77" t="s">
        <v>1217</v>
      </c>
      <c r="I69" s="64"/>
      <c r="J69" s="62" t="s">
        <v>1152</v>
      </c>
      <c r="K69" s="62" t="s">
        <v>1036</v>
      </c>
      <c r="L69" s="62">
        <v>3</v>
      </c>
      <c r="M69" s="62">
        <v>0</v>
      </c>
      <c r="N69" s="62" t="s">
        <v>420</v>
      </c>
      <c r="O69" s="64"/>
      <c r="P69" s="62"/>
      <c r="Q69" s="62" t="s">
        <v>363</v>
      </c>
      <c r="R69" s="62">
        <v>984797337</v>
      </c>
      <c r="S69" s="62" t="s">
        <v>112</v>
      </c>
      <c r="T69" s="62" t="s">
        <v>668</v>
      </c>
      <c r="U69" s="67" t="s">
        <v>419</v>
      </c>
      <c r="V69" s="67"/>
      <c r="W69" s="65"/>
      <c r="X69" s="89">
        <v>277</v>
      </c>
      <c r="Y69" s="66">
        <v>252</v>
      </c>
      <c r="Z69" s="89">
        <f t="shared" ref="Z69:Z126" si="1">SUM(X69-Y69)</f>
        <v>25</v>
      </c>
      <c r="AA69" s="93">
        <v>0.75694444444444442</v>
      </c>
      <c r="AB69" s="98">
        <v>6335480</v>
      </c>
      <c r="AC69" s="102">
        <v>179.39999999999998</v>
      </c>
    </row>
    <row r="70" spans="1:29" s="58" customFormat="1" ht="18" customHeight="1" x14ac:dyDescent="0.2">
      <c r="A70" s="67" t="s">
        <v>68</v>
      </c>
      <c r="B70" s="67">
        <v>761687794</v>
      </c>
      <c r="C70" s="61" t="s">
        <v>1349</v>
      </c>
      <c r="D70" s="62" t="s">
        <v>1329</v>
      </c>
      <c r="E70" s="61" t="s">
        <v>619</v>
      </c>
      <c r="F70" s="62" t="s">
        <v>1278</v>
      </c>
      <c r="G70" s="62" t="s">
        <v>438</v>
      </c>
      <c r="H70" s="78" t="s">
        <v>951</v>
      </c>
      <c r="I70" s="62"/>
      <c r="J70" s="70"/>
      <c r="K70" s="70"/>
      <c r="L70" s="62">
        <v>3</v>
      </c>
      <c r="M70" s="62"/>
      <c r="N70" s="62" t="s">
        <v>446</v>
      </c>
      <c r="O70" s="64"/>
      <c r="P70" s="62"/>
      <c r="Q70" s="71" t="s">
        <v>945</v>
      </c>
      <c r="R70" s="71"/>
      <c r="S70" s="71"/>
      <c r="T70" s="71"/>
      <c r="U70" s="74"/>
      <c r="V70" s="74"/>
      <c r="W70" s="65"/>
      <c r="X70" s="89">
        <v>179</v>
      </c>
      <c r="Y70" s="66">
        <v>125</v>
      </c>
      <c r="Z70" s="89">
        <f t="shared" si="1"/>
        <v>54</v>
      </c>
      <c r="AA70" s="93">
        <v>0.73563218390804597</v>
      </c>
      <c r="AB70" s="98">
        <v>3197750</v>
      </c>
      <c r="AC70" s="102">
        <v>173.64999999999998</v>
      </c>
    </row>
    <row r="71" spans="1:29" s="58" customFormat="1" ht="18" customHeight="1" x14ac:dyDescent="0.2">
      <c r="A71" s="67" t="s">
        <v>39</v>
      </c>
      <c r="B71" s="67">
        <v>761839098</v>
      </c>
      <c r="C71" s="61" t="s">
        <v>137</v>
      </c>
      <c r="D71" s="62" t="s">
        <v>1324</v>
      </c>
      <c r="E71" s="63" t="s">
        <v>138</v>
      </c>
      <c r="F71" s="62" t="s">
        <v>139</v>
      </c>
      <c r="G71" s="62" t="s">
        <v>438</v>
      </c>
      <c r="H71" s="77" t="s">
        <v>1218</v>
      </c>
      <c r="I71" s="64"/>
      <c r="J71" s="62" t="s">
        <v>1153</v>
      </c>
      <c r="K71" s="62" t="s">
        <v>140</v>
      </c>
      <c r="L71" s="62">
        <v>4</v>
      </c>
      <c r="M71" s="62">
        <v>0</v>
      </c>
      <c r="N71" s="62" t="s">
        <v>490</v>
      </c>
      <c r="O71" s="64"/>
      <c r="P71" s="62"/>
      <c r="Q71" s="62" t="s">
        <v>836</v>
      </c>
      <c r="R71" s="62" t="s">
        <v>593</v>
      </c>
      <c r="S71" s="62" t="s">
        <v>491</v>
      </c>
      <c r="T71" s="62" t="s">
        <v>492</v>
      </c>
      <c r="U71" s="67" t="s">
        <v>493</v>
      </c>
      <c r="V71" s="67" t="s">
        <v>141</v>
      </c>
      <c r="W71" s="65"/>
      <c r="X71" s="89">
        <v>394</v>
      </c>
      <c r="Y71" s="66">
        <v>349</v>
      </c>
      <c r="Z71" s="89">
        <f t="shared" si="1"/>
        <v>45</v>
      </c>
      <c r="AA71" s="93">
        <v>0.84649122807017541</v>
      </c>
      <c r="AB71" s="98">
        <v>9101510</v>
      </c>
      <c r="AC71" s="102">
        <v>289.79999999999995</v>
      </c>
    </row>
    <row r="72" spans="1:29" s="58" customFormat="1" ht="18" customHeight="1" x14ac:dyDescent="0.2">
      <c r="A72" s="67" t="s">
        <v>88</v>
      </c>
      <c r="B72" s="67">
        <v>761952552</v>
      </c>
      <c r="C72" s="61" t="s">
        <v>327</v>
      </c>
      <c r="D72" s="62" t="s">
        <v>330</v>
      </c>
      <c r="E72" s="63" t="s">
        <v>117</v>
      </c>
      <c r="F72" s="62">
        <v>961418070</v>
      </c>
      <c r="G72" s="62" t="s">
        <v>328</v>
      </c>
      <c r="H72" s="76" t="s">
        <v>842</v>
      </c>
      <c r="I72" s="64"/>
      <c r="J72" s="62" t="s">
        <v>1154</v>
      </c>
      <c r="K72" s="64"/>
      <c r="L72" s="62"/>
      <c r="M72" s="62"/>
      <c r="N72" s="62" t="s">
        <v>488</v>
      </c>
      <c r="O72" s="64"/>
      <c r="P72" s="75">
        <v>0.05</v>
      </c>
      <c r="Q72" s="62" t="s">
        <v>942</v>
      </c>
      <c r="R72" s="62"/>
      <c r="S72" s="62" t="s">
        <v>112</v>
      </c>
      <c r="T72" s="62" t="s">
        <v>329</v>
      </c>
      <c r="U72" s="67" t="s">
        <v>330</v>
      </c>
      <c r="V72" s="67"/>
      <c r="W72" s="65"/>
      <c r="X72" s="89">
        <v>770</v>
      </c>
      <c r="Y72" s="66">
        <v>703</v>
      </c>
      <c r="Z72" s="89">
        <f t="shared" si="1"/>
        <v>67</v>
      </c>
      <c r="AA72" s="93">
        <v>0.77500000000000002</v>
      </c>
      <c r="AB72" s="98">
        <v>18096970</v>
      </c>
      <c r="AC72" s="102">
        <v>533.59999999999991</v>
      </c>
    </row>
    <row r="73" spans="1:29" s="58" customFormat="1" ht="18" customHeight="1" x14ac:dyDescent="0.2">
      <c r="A73" s="67" t="s">
        <v>65</v>
      </c>
      <c r="B73" s="67">
        <v>761981951</v>
      </c>
      <c r="C73" s="61" t="s">
        <v>220</v>
      </c>
      <c r="D73" s="62" t="s">
        <v>1328</v>
      </c>
      <c r="E73" s="63" t="s">
        <v>221</v>
      </c>
      <c r="F73" s="62" t="s">
        <v>1279</v>
      </c>
      <c r="G73" s="62" t="s">
        <v>438</v>
      </c>
      <c r="H73" s="67" t="s">
        <v>1219</v>
      </c>
      <c r="I73" s="64"/>
      <c r="J73" s="62" t="s">
        <v>222</v>
      </c>
      <c r="K73" s="62" t="s">
        <v>140</v>
      </c>
      <c r="L73" s="62">
        <v>3</v>
      </c>
      <c r="M73" s="62">
        <v>0</v>
      </c>
      <c r="N73" s="62" t="s">
        <v>340</v>
      </c>
      <c r="O73" s="64"/>
      <c r="P73" s="62"/>
      <c r="Q73" s="62" t="s">
        <v>836</v>
      </c>
      <c r="R73" s="62"/>
      <c r="S73" s="62" t="s">
        <v>444</v>
      </c>
      <c r="T73" s="62"/>
      <c r="U73" s="67" t="s">
        <v>442</v>
      </c>
      <c r="V73" s="67"/>
      <c r="W73" s="65"/>
      <c r="X73" s="89">
        <v>144</v>
      </c>
      <c r="Y73" s="66">
        <v>130</v>
      </c>
      <c r="Z73" s="89">
        <f t="shared" si="1"/>
        <v>14</v>
      </c>
      <c r="AA73" s="93">
        <v>0.68181818181818177</v>
      </c>
      <c r="AB73" s="98">
        <v>3272700</v>
      </c>
      <c r="AC73" s="102">
        <v>72.449999999999989</v>
      </c>
    </row>
    <row r="74" spans="1:29" s="58" customFormat="1" ht="18" customHeight="1" x14ac:dyDescent="0.2">
      <c r="A74" s="67" t="s">
        <v>590</v>
      </c>
      <c r="B74" s="67">
        <v>762599295</v>
      </c>
      <c r="C74" s="61" t="s">
        <v>607</v>
      </c>
      <c r="D74" s="62" t="s">
        <v>1330</v>
      </c>
      <c r="E74" s="63" t="s">
        <v>292</v>
      </c>
      <c r="F74" s="62" t="s">
        <v>1280</v>
      </c>
      <c r="G74" s="62" t="s">
        <v>286</v>
      </c>
      <c r="H74" s="67" t="s">
        <v>1220</v>
      </c>
      <c r="I74" s="64"/>
      <c r="J74" s="62"/>
      <c r="K74" s="62"/>
      <c r="L74" s="62"/>
      <c r="M74" s="62"/>
      <c r="N74" s="62" t="s">
        <v>727</v>
      </c>
      <c r="O74" s="64"/>
      <c r="P74" s="62"/>
      <c r="Q74" s="62" t="s">
        <v>836</v>
      </c>
      <c r="R74" s="62"/>
      <c r="S74" s="62"/>
      <c r="T74" s="62"/>
      <c r="U74" s="67"/>
      <c r="V74" s="67"/>
      <c r="W74" s="65"/>
      <c r="X74" s="89">
        <v>0</v>
      </c>
      <c r="Y74" s="66">
        <v>0</v>
      </c>
      <c r="Z74" s="89">
        <f t="shared" si="1"/>
        <v>0</v>
      </c>
      <c r="AA74" s="93">
        <v>0</v>
      </c>
      <c r="AB74" s="98">
        <v>0</v>
      </c>
      <c r="AC74" s="102">
        <v>0</v>
      </c>
    </row>
    <row r="75" spans="1:29" s="58" customFormat="1" ht="18" customHeight="1" x14ac:dyDescent="0.2">
      <c r="A75" s="67" t="s">
        <v>67</v>
      </c>
      <c r="B75" s="67">
        <v>763395200</v>
      </c>
      <c r="C75" s="61" t="s">
        <v>235</v>
      </c>
      <c r="D75" s="62" t="s">
        <v>384</v>
      </c>
      <c r="E75" s="63" t="s">
        <v>236</v>
      </c>
      <c r="F75" s="62">
        <v>412553099</v>
      </c>
      <c r="G75" s="62" t="s">
        <v>328</v>
      </c>
      <c r="H75" s="77" t="s">
        <v>1221</v>
      </c>
      <c r="I75" s="64"/>
      <c r="J75" s="62" t="s">
        <v>1155</v>
      </c>
      <c r="K75" s="62" t="s">
        <v>1036</v>
      </c>
      <c r="L75" s="62">
        <v>4</v>
      </c>
      <c r="M75" s="62">
        <v>0</v>
      </c>
      <c r="N75" s="62" t="s">
        <v>343</v>
      </c>
      <c r="O75" s="64"/>
      <c r="P75" s="62"/>
      <c r="Q75" s="62" t="s">
        <v>836</v>
      </c>
      <c r="R75" s="62"/>
      <c r="S75" s="62" t="s">
        <v>458</v>
      </c>
      <c r="T75" s="62" t="s">
        <v>459</v>
      </c>
      <c r="U75" s="67" t="s">
        <v>384</v>
      </c>
      <c r="V75" s="67" t="s">
        <v>237</v>
      </c>
      <c r="W75" s="65"/>
      <c r="X75" s="89">
        <v>119</v>
      </c>
      <c r="Y75" s="66">
        <v>116</v>
      </c>
      <c r="Z75" s="89">
        <f t="shared" si="1"/>
        <v>3</v>
      </c>
      <c r="AA75" s="93">
        <v>0.81632653061224492</v>
      </c>
      <c r="AB75" s="98">
        <v>2914840</v>
      </c>
      <c r="AC75" s="102">
        <v>170.2</v>
      </c>
    </row>
    <row r="76" spans="1:29" s="58" customFormat="1" ht="18" customHeight="1" x14ac:dyDescent="0.2">
      <c r="A76" s="67" t="s">
        <v>396</v>
      </c>
      <c r="B76" s="67">
        <v>763683931</v>
      </c>
      <c r="C76" s="61" t="s">
        <v>395</v>
      </c>
      <c r="D76" s="62" t="s">
        <v>1322</v>
      </c>
      <c r="E76" s="63" t="s">
        <v>397</v>
      </c>
      <c r="F76" s="62" t="s">
        <v>1281</v>
      </c>
      <c r="G76" s="62" t="s">
        <v>328</v>
      </c>
      <c r="H76" s="67" t="s">
        <v>1222</v>
      </c>
      <c r="I76" s="64"/>
      <c r="J76" s="62" t="s">
        <v>1156</v>
      </c>
      <c r="K76" s="62" t="s">
        <v>366</v>
      </c>
      <c r="L76" s="62">
        <v>3</v>
      </c>
      <c r="M76" s="62">
        <v>0</v>
      </c>
      <c r="N76" s="62" t="s">
        <v>385</v>
      </c>
      <c r="O76" s="64"/>
      <c r="P76" s="62"/>
      <c r="Q76" s="62" t="s">
        <v>836</v>
      </c>
      <c r="R76" s="62"/>
      <c r="S76" s="62" t="s">
        <v>353</v>
      </c>
      <c r="T76" s="62" t="s">
        <v>398</v>
      </c>
      <c r="U76" s="67"/>
      <c r="V76" s="67"/>
      <c r="W76" s="65"/>
      <c r="X76" s="89">
        <v>0</v>
      </c>
      <c r="Y76" s="66">
        <v>0</v>
      </c>
      <c r="Z76" s="89">
        <f t="shared" si="1"/>
        <v>0</v>
      </c>
      <c r="AA76" s="93">
        <v>0</v>
      </c>
      <c r="AB76" s="98">
        <v>0</v>
      </c>
      <c r="AC76" s="102">
        <v>0</v>
      </c>
    </row>
    <row r="77" spans="1:29" s="58" customFormat="1" ht="18" customHeight="1" x14ac:dyDescent="0.2">
      <c r="A77" s="67" t="s">
        <v>641</v>
      </c>
      <c r="B77" s="67">
        <v>764543548</v>
      </c>
      <c r="C77" s="61" t="s">
        <v>1350</v>
      </c>
      <c r="D77" s="62" t="s">
        <v>324</v>
      </c>
      <c r="E77" s="63" t="s">
        <v>821</v>
      </c>
      <c r="F77" s="62">
        <v>998842676</v>
      </c>
      <c r="G77" s="62" t="s">
        <v>328</v>
      </c>
      <c r="H77" s="77" t="s">
        <v>822</v>
      </c>
      <c r="I77" s="64"/>
      <c r="J77" s="62" t="s">
        <v>1036</v>
      </c>
      <c r="K77" s="62" t="s">
        <v>1036</v>
      </c>
      <c r="L77" s="62">
        <v>1</v>
      </c>
      <c r="M77" s="62">
        <v>0</v>
      </c>
      <c r="N77" s="62" t="s">
        <v>385</v>
      </c>
      <c r="O77" s="64"/>
      <c r="P77" s="62"/>
      <c r="Q77" s="62" t="s">
        <v>690</v>
      </c>
      <c r="R77" s="62"/>
      <c r="S77" s="62" t="s">
        <v>562</v>
      </c>
      <c r="T77" s="62" t="s">
        <v>565</v>
      </c>
      <c r="U77" s="67" t="str">
        <f>D77</f>
        <v>ANGOL</v>
      </c>
      <c r="V77" s="67"/>
      <c r="W77" s="65"/>
      <c r="X77" s="89">
        <v>157</v>
      </c>
      <c r="Y77" s="66">
        <v>117</v>
      </c>
      <c r="Z77" s="89">
        <f t="shared" si="1"/>
        <v>40</v>
      </c>
      <c r="AA77" s="93">
        <v>0.97499999999999998</v>
      </c>
      <c r="AB77" s="98">
        <v>2981830</v>
      </c>
      <c r="AC77" s="102">
        <v>164.45</v>
      </c>
    </row>
    <row r="78" spans="1:29" s="58" customFormat="1" ht="18" customHeight="1" x14ac:dyDescent="0.2">
      <c r="A78" s="67" t="s">
        <v>640</v>
      </c>
      <c r="B78" s="67">
        <v>765118298</v>
      </c>
      <c r="C78" s="61" t="s">
        <v>1351</v>
      </c>
      <c r="D78" s="62" t="s">
        <v>330</v>
      </c>
      <c r="E78" s="63" t="s">
        <v>251</v>
      </c>
      <c r="F78" s="62" t="s">
        <v>1282</v>
      </c>
      <c r="G78" s="62" t="s">
        <v>328</v>
      </c>
      <c r="H78" s="67" t="s">
        <v>1223</v>
      </c>
      <c r="I78" s="64"/>
      <c r="J78" s="62" t="s">
        <v>1157</v>
      </c>
      <c r="K78" s="62" t="s">
        <v>1036</v>
      </c>
      <c r="L78" s="62">
        <v>1</v>
      </c>
      <c r="M78" s="62">
        <v>0</v>
      </c>
      <c r="N78" s="62" t="s">
        <v>453</v>
      </c>
      <c r="O78" s="64"/>
      <c r="P78" s="62"/>
      <c r="Q78" s="62" t="s">
        <v>836</v>
      </c>
      <c r="R78" s="62">
        <v>85874622</v>
      </c>
      <c r="S78" s="62" t="s">
        <v>353</v>
      </c>
      <c r="T78" s="62" t="s">
        <v>380</v>
      </c>
      <c r="U78" s="67" t="s">
        <v>330</v>
      </c>
      <c r="V78" s="67"/>
      <c r="W78" s="65"/>
      <c r="X78" s="89">
        <v>195</v>
      </c>
      <c r="Y78" s="66">
        <v>166</v>
      </c>
      <c r="Z78" s="89">
        <f t="shared" si="1"/>
        <v>29</v>
      </c>
      <c r="AA78" s="93">
        <v>0.73796791443850263</v>
      </c>
      <c r="AB78" s="98">
        <v>4271340</v>
      </c>
      <c r="AC78" s="102">
        <v>218.49999999999997</v>
      </c>
    </row>
    <row r="79" spans="1:29" s="58" customFormat="1" ht="18" customHeight="1" x14ac:dyDescent="0.2">
      <c r="A79" s="69" t="s">
        <v>648</v>
      </c>
      <c r="B79" s="69">
        <v>766589502</v>
      </c>
      <c r="C79" s="69" t="s">
        <v>1352</v>
      </c>
      <c r="D79" s="62" t="s">
        <v>331</v>
      </c>
      <c r="E79" s="63"/>
      <c r="F79" s="63"/>
      <c r="G79" s="62" t="s">
        <v>328</v>
      </c>
      <c r="H79" s="67"/>
      <c r="I79" s="63"/>
      <c r="J79" s="63"/>
      <c r="K79" s="63"/>
      <c r="L79" s="63"/>
      <c r="M79" s="63"/>
      <c r="N79" s="63" t="s">
        <v>385</v>
      </c>
      <c r="O79" s="63"/>
      <c r="P79" s="63"/>
      <c r="Q79" s="62" t="s">
        <v>836</v>
      </c>
      <c r="R79" s="63">
        <v>0</v>
      </c>
      <c r="S79" s="63"/>
      <c r="T79" s="63"/>
      <c r="U79" s="69"/>
      <c r="V79" s="69"/>
      <c r="W79" s="65"/>
      <c r="X79" s="89">
        <v>477</v>
      </c>
      <c r="Y79" s="66">
        <v>402</v>
      </c>
      <c r="Z79" s="89">
        <f t="shared" si="1"/>
        <v>75</v>
      </c>
      <c r="AA79" s="93">
        <v>0.51595744680851063</v>
      </c>
      <c r="AB79" s="98">
        <v>10195980</v>
      </c>
      <c r="AC79" s="102">
        <v>216.2</v>
      </c>
    </row>
    <row r="80" spans="1:29" s="58" customFormat="1" ht="18" customHeight="1" x14ac:dyDescent="0.2">
      <c r="A80" s="67" t="s">
        <v>628</v>
      </c>
      <c r="B80" s="67">
        <v>766623522</v>
      </c>
      <c r="C80" s="61" t="s">
        <v>642</v>
      </c>
      <c r="D80" s="62" t="s">
        <v>1331</v>
      </c>
      <c r="E80" s="63" t="s">
        <v>909</v>
      </c>
      <c r="F80" s="62">
        <v>950150910</v>
      </c>
      <c r="G80" s="62" t="s">
        <v>328</v>
      </c>
      <c r="H80" s="67" t="s">
        <v>1224</v>
      </c>
      <c r="I80" s="64"/>
      <c r="J80" s="62" t="s">
        <v>792</v>
      </c>
      <c r="K80" s="62"/>
      <c r="L80" s="62">
        <v>1</v>
      </c>
      <c r="M80" s="62">
        <v>0</v>
      </c>
      <c r="N80" s="62" t="s">
        <v>351</v>
      </c>
      <c r="O80" s="64"/>
      <c r="P80" s="75"/>
      <c r="Q80" s="62" t="s">
        <v>1766</v>
      </c>
      <c r="R80" s="62">
        <v>950150910</v>
      </c>
      <c r="S80" s="62" t="s">
        <v>467</v>
      </c>
      <c r="T80" s="62" t="s">
        <v>468</v>
      </c>
      <c r="U80" s="67" t="s">
        <v>466</v>
      </c>
      <c r="V80" s="67" t="s">
        <v>126</v>
      </c>
      <c r="W80" s="65"/>
      <c r="X80" s="89">
        <v>658</v>
      </c>
      <c r="Y80" s="66">
        <v>488</v>
      </c>
      <c r="Z80" s="89">
        <f t="shared" si="1"/>
        <v>170</v>
      </c>
      <c r="AA80" s="93">
        <v>0.72867587327376115</v>
      </c>
      <c r="AB80" s="98">
        <v>12597120</v>
      </c>
      <c r="AC80" s="102">
        <v>1059.1499999999999</v>
      </c>
    </row>
    <row r="81" spans="1:29" s="58" customFormat="1" ht="18" customHeight="1" x14ac:dyDescent="0.2">
      <c r="A81" s="69" t="s">
        <v>654</v>
      </c>
      <c r="B81" s="69">
        <v>766871836</v>
      </c>
      <c r="C81" s="69" t="s">
        <v>653</v>
      </c>
      <c r="D81" s="62" t="s">
        <v>402</v>
      </c>
      <c r="E81" s="63" t="s">
        <v>829</v>
      </c>
      <c r="F81" s="63">
        <v>987952316</v>
      </c>
      <c r="G81" s="62" t="s">
        <v>438</v>
      </c>
      <c r="H81" s="77" t="s">
        <v>828</v>
      </c>
      <c r="I81" s="63"/>
      <c r="J81" s="63" t="s">
        <v>665</v>
      </c>
      <c r="K81" s="63" t="s">
        <v>366</v>
      </c>
      <c r="L81" s="63">
        <v>1</v>
      </c>
      <c r="M81" s="63"/>
      <c r="N81" s="63" t="s">
        <v>351</v>
      </c>
      <c r="O81" s="63"/>
      <c r="P81" s="63"/>
      <c r="Q81" s="62" t="s">
        <v>1767</v>
      </c>
      <c r="R81" s="63">
        <v>0</v>
      </c>
      <c r="S81" s="63" t="s">
        <v>344</v>
      </c>
      <c r="T81" s="63" t="s">
        <v>664</v>
      </c>
      <c r="U81" s="69" t="s">
        <v>402</v>
      </c>
      <c r="V81" s="69"/>
      <c r="W81" s="65"/>
      <c r="X81" s="89">
        <v>540</v>
      </c>
      <c r="Y81" s="66">
        <v>444</v>
      </c>
      <c r="Z81" s="89">
        <f t="shared" si="1"/>
        <v>96</v>
      </c>
      <c r="AA81" s="93">
        <v>0.10133333333333333</v>
      </c>
      <c r="AB81" s="98">
        <v>11290560</v>
      </c>
      <c r="AC81" s="102">
        <v>842.94999999999993</v>
      </c>
    </row>
    <row r="82" spans="1:29" s="58" customFormat="1" ht="18" customHeight="1" x14ac:dyDescent="0.2">
      <c r="A82" s="69" t="s">
        <v>647</v>
      </c>
      <c r="B82" s="69">
        <v>768217173</v>
      </c>
      <c r="C82" s="69" t="s">
        <v>1353</v>
      </c>
      <c r="D82" s="62" t="s">
        <v>394</v>
      </c>
      <c r="E82" s="63"/>
      <c r="F82" s="63"/>
      <c r="G82" s="62" t="s">
        <v>328</v>
      </c>
      <c r="H82" s="67"/>
      <c r="I82" s="63"/>
      <c r="J82" s="63"/>
      <c r="K82" s="63"/>
      <c r="L82" s="63"/>
      <c r="M82" s="63"/>
      <c r="N82" s="63"/>
      <c r="O82" s="63"/>
      <c r="P82" s="63"/>
      <c r="Q82" s="62" t="s">
        <v>690</v>
      </c>
      <c r="R82" s="63">
        <v>0</v>
      </c>
      <c r="S82" s="63"/>
      <c r="T82" s="63"/>
      <c r="U82" s="69"/>
      <c r="V82" s="69"/>
      <c r="W82" s="65"/>
      <c r="X82" s="89">
        <v>0</v>
      </c>
      <c r="Y82" s="66">
        <v>0</v>
      </c>
      <c r="Z82" s="89">
        <f t="shared" si="1"/>
        <v>0</v>
      </c>
      <c r="AA82" s="93">
        <v>0</v>
      </c>
      <c r="AB82" s="98">
        <v>0</v>
      </c>
      <c r="AC82" s="102">
        <v>0</v>
      </c>
    </row>
    <row r="83" spans="1:29" s="58" customFormat="1" ht="18" customHeight="1" x14ac:dyDescent="0.2">
      <c r="A83" s="69" t="s">
        <v>660</v>
      </c>
      <c r="B83" s="69">
        <v>768651116</v>
      </c>
      <c r="C83" s="69" t="s">
        <v>816</v>
      </c>
      <c r="D83" s="62" t="s">
        <v>352</v>
      </c>
      <c r="E83" s="63" t="s">
        <v>817</v>
      </c>
      <c r="F83" s="63">
        <v>940127841</v>
      </c>
      <c r="G83" s="62" t="s">
        <v>725</v>
      </c>
      <c r="H83" s="77" t="s">
        <v>818</v>
      </c>
      <c r="I83" s="63"/>
      <c r="J83" s="63" t="s">
        <v>819</v>
      </c>
      <c r="K83" s="63"/>
      <c r="L83" s="63">
        <v>3</v>
      </c>
      <c r="M83" s="63"/>
      <c r="N83" s="63" t="s">
        <v>351</v>
      </c>
      <c r="O83" s="63"/>
      <c r="P83" s="63"/>
      <c r="Q83" s="63" t="s">
        <v>844</v>
      </c>
      <c r="R83" s="63">
        <v>0</v>
      </c>
      <c r="S83" s="63"/>
      <c r="T83" s="63"/>
      <c r="U83" s="69"/>
      <c r="V83" s="69"/>
      <c r="W83" s="65"/>
      <c r="X83" s="89">
        <v>0</v>
      </c>
      <c r="Y83" s="66">
        <v>0</v>
      </c>
      <c r="Z83" s="89">
        <f t="shared" si="1"/>
        <v>0</v>
      </c>
      <c r="AA83" s="93">
        <v>0</v>
      </c>
      <c r="AB83" s="98">
        <v>0</v>
      </c>
      <c r="AC83" s="102">
        <v>0</v>
      </c>
    </row>
    <row r="84" spans="1:29" s="58" customFormat="1" ht="18" customHeight="1" x14ac:dyDescent="0.2">
      <c r="A84" s="67" t="s">
        <v>54</v>
      </c>
      <c r="B84" s="67">
        <v>770295106</v>
      </c>
      <c r="C84" s="61" t="s">
        <v>183</v>
      </c>
      <c r="D84" s="62" t="s">
        <v>1332</v>
      </c>
      <c r="E84" s="63" t="s">
        <v>184</v>
      </c>
      <c r="F84" s="62">
        <v>98659430</v>
      </c>
      <c r="G84" s="62" t="s">
        <v>328</v>
      </c>
      <c r="H84" s="76" t="s">
        <v>530</v>
      </c>
      <c r="I84" s="64"/>
      <c r="J84" s="62" t="s">
        <v>531</v>
      </c>
      <c r="K84" s="62" t="s">
        <v>1120</v>
      </c>
      <c r="L84" s="62">
        <v>1</v>
      </c>
      <c r="M84" s="62">
        <v>0</v>
      </c>
      <c r="N84" s="62" t="s">
        <v>824</v>
      </c>
      <c r="O84" s="64"/>
      <c r="P84" s="62"/>
      <c r="Q84" s="62" t="s">
        <v>836</v>
      </c>
      <c r="R84" s="62"/>
      <c r="S84" s="62" t="s">
        <v>112</v>
      </c>
      <c r="T84" s="62" t="s">
        <v>532</v>
      </c>
      <c r="U84" s="67" t="s">
        <v>378</v>
      </c>
      <c r="V84" s="67" t="s">
        <v>185</v>
      </c>
      <c r="W84" s="65"/>
      <c r="X84" s="89">
        <v>252</v>
      </c>
      <c r="Y84" s="66">
        <v>219</v>
      </c>
      <c r="Z84" s="89">
        <f t="shared" si="1"/>
        <v>33</v>
      </c>
      <c r="AA84" s="93">
        <v>0.95833333333333337</v>
      </c>
      <c r="AB84" s="98">
        <v>5580810</v>
      </c>
      <c r="AC84" s="102">
        <v>47.15</v>
      </c>
    </row>
    <row r="85" spans="1:29" s="58" customFormat="1" ht="18" customHeight="1" x14ac:dyDescent="0.2">
      <c r="A85" s="67" t="s">
        <v>45</v>
      </c>
      <c r="B85" s="67">
        <v>770301300</v>
      </c>
      <c r="C85" s="61" t="s">
        <v>156</v>
      </c>
      <c r="D85" s="62" t="s">
        <v>394</v>
      </c>
      <c r="E85" s="63" t="s">
        <v>157</v>
      </c>
      <c r="F85" s="62" t="s">
        <v>1283</v>
      </c>
      <c r="G85" s="62" t="s">
        <v>328</v>
      </c>
      <c r="H85" s="76" t="s">
        <v>514</v>
      </c>
      <c r="I85" s="64"/>
      <c r="J85" s="62" t="s">
        <v>515</v>
      </c>
      <c r="K85" s="62" t="s">
        <v>103</v>
      </c>
      <c r="L85" s="62">
        <v>1</v>
      </c>
      <c r="M85" s="62">
        <v>0</v>
      </c>
      <c r="N85" s="62" t="s">
        <v>453</v>
      </c>
      <c r="O85" s="64"/>
      <c r="P85" s="75">
        <v>0.05</v>
      </c>
      <c r="Q85" s="62" t="s">
        <v>943</v>
      </c>
      <c r="R85" s="62"/>
      <c r="S85" s="62" t="s">
        <v>112</v>
      </c>
      <c r="T85" s="62" t="s">
        <v>516</v>
      </c>
      <c r="U85" s="67" t="s">
        <v>394</v>
      </c>
      <c r="V85" s="67" t="s">
        <v>158</v>
      </c>
      <c r="W85" s="65"/>
      <c r="X85" s="89">
        <v>464</v>
      </c>
      <c r="Y85" s="66">
        <v>421</v>
      </c>
      <c r="Z85" s="89">
        <f t="shared" si="1"/>
        <v>43</v>
      </c>
      <c r="AA85" s="93">
        <v>0.93080724876441512</v>
      </c>
      <c r="AB85" s="98">
        <v>10799790</v>
      </c>
      <c r="AC85" s="102">
        <v>691.15</v>
      </c>
    </row>
    <row r="86" spans="1:29" s="58" customFormat="1" ht="18" customHeight="1" x14ac:dyDescent="0.2">
      <c r="A86" s="67" t="s">
        <v>72</v>
      </c>
      <c r="B86" s="67">
        <v>771432808</v>
      </c>
      <c r="C86" s="61" t="s">
        <v>256</v>
      </c>
      <c r="D86" s="62" t="s">
        <v>1333</v>
      </c>
      <c r="E86" s="63" t="s">
        <v>257</v>
      </c>
      <c r="F86" s="62">
        <v>998864093</v>
      </c>
      <c r="G86" s="62" t="s">
        <v>725</v>
      </c>
      <c r="H86" s="77" t="s">
        <v>805</v>
      </c>
      <c r="I86" s="64"/>
      <c r="J86" s="62" t="s">
        <v>1158</v>
      </c>
      <c r="K86" s="62" t="s">
        <v>366</v>
      </c>
      <c r="L86" s="62">
        <v>4</v>
      </c>
      <c r="M86" s="62">
        <v>0</v>
      </c>
      <c r="N86" s="62" t="s">
        <v>351</v>
      </c>
      <c r="O86" s="64"/>
      <c r="P86" s="62"/>
      <c r="Q86" s="62" t="s">
        <v>843</v>
      </c>
      <c r="R86" s="62"/>
      <c r="S86" s="62" t="s">
        <v>112</v>
      </c>
      <c r="T86" s="62" t="s">
        <v>388</v>
      </c>
      <c r="U86" s="67" t="s">
        <v>387</v>
      </c>
      <c r="V86" s="67"/>
      <c r="W86" s="65"/>
      <c r="X86" s="89">
        <v>168</v>
      </c>
      <c r="Y86" s="66">
        <v>148</v>
      </c>
      <c r="Z86" s="89">
        <f t="shared" si="1"/>
        <v>20</v>
      </c>
      <c r="AA86" s="93">
        <v>0.78321678321678323</v>
      </c>
      <c r="AB86" s="98">
        <v>3768520</v>
      </c>
      <c r="AC86" s="102">
        <v>156.39999999999998</v>
      </c>
    </row>
    <row r="87" spans="1:29" s="58" customFormat="1" ht="18" customHeight="1" x14ac:dyDescent="0.2">
      <c r="A87" s="67" t="s">
        <v>579</v>
      </c>
      <c r="B87" s="67" t="s">
        <v>1367</v>
      </c>
      <c r="C87" s="61" t="s">
        <v>580</v>
      </c>
      <c r="D87" s="62" t="s">
        <v>586</v>
      </c>
      <c r="E87" s="63" t="s">
        <v>581</v>
      </c>
      <c r="F87" s="62" t="s">
        <v>582</v>
      </c>
      <c r="G87" s="62" t="s">
        <v>286</v>
      </c>
      <c r="H87" s="67" t="s">
        <v>583</v>
      </c>
      <c r="I87" s="62"/>
      <c r="J87" s="62"/>
      <c r="K87" s="62"/>
      <c r="L87" s="62"/>
      <c r="M87" s="62"/>
      <c r="N87" s="62" t="s">
        <v>552</v>
      </c>
      <c r="O87" s="64"/>
      <c r="P87" s="62"/>
      <c r="Q87" s="62" t="s">
        <v>836</v>
      </c>
      <c r="R87" s="62"/>
      <c r="S87" s="62" t="s">
        <v>584</v>
      </c>
      <c r="T87" s="62" t="s">
        <v>585</v>
      </c>
      <c r="U87" s="67" t="s">
        <v>586</v>
      </c>
      <c r="V87" s="67"/>
      <c r="W87" s="65"/>
      <c r="X87" s="89">
        <v>119</v>
      </c>
      <c r="Y87" s="66">
        <v>111</v>
      </c>
      <c r="Z87" s="89">
        <f t="shared" si="1"/>
        <v>8</v>
      </c>
      <c r="AA87" s="93">
        <v>0.83132530120481929</v>
      </c>
      <c r="AB87" s="98">
        <v>2824890</v>
      </c>
      <c r="AC87" s="102">
        <v>114.99999999999999</v>
      </c>
    </row>
    <row r="88" spans="1:29" s="58" customFormat="1" ht="18" customHeight="1" x14ac:dyDescent="0.2">
      <c r="A88" s="67" t="s">
        <v>35</v>
      </c>
      <c r="B88" s="67">
        <v>773592101</v>
      </c>
      <c r="C88" s="61" t="s">
        <v>114</v>
      </c>
      <c r="D88" s="62" t="s">
        <v>330</v>
      </c>
      <c r="E88" s="63" t="s">
        <v>115</v>
      </c>
      <c r="F88" s="62" t="s">
        <v>1284</v>
      </c>
      <c r="G88" s="62" t="s">
        <v>328</v>
      </c>
      <c r="H88" s="76" t="s">
        <v>460</v>
      </c>
      <c r="I88" s="64"/>
      <c r="J88" s="62" t="s">
        <v>461</v>
      </c>
      <c r="K88" s="62" t="s">
        <v>103</v>
      </c>
      <c r="L88" s="62">
        <v>1</v>
      </c>
      <c r="M88" s="62">
        <v>0</v>
      </c>
      <c r="N88" s="62" t="s">
        <v>111</v>
      </c>
      <c r="O88" s="64"/>
      <c r="P88" s="75"/>
      <c r="Q88" s="62" t="s">
        <v>942</v>
      </c>
      <c r="R88" s="62"/>
      <c r="S88" s="62" t="s">
        <v>112</v>
      </c>
      <c r="T88" s="62" t="s">
        <v>113</v>
      </c>
      <c r="U88" s="67" t="s">
        <v>330</v>
      </c>
      <c r="V88" s="67" t="s">
        <v>116</v>
      </c>
      <c r="W88" s="65"/>
      <c r="X88" s="89">
        <v>0</v>
      </c>
      <c r="Y88" s="66">
        <v>0</v>
      </c>
      <c r="Z88" s="89">
        <f t="shared" si="1"/>
        <v>0</v>
      </c>
      <c r="AA88" s="93">
        <v>0</v>
      </c>
      <c r="AB88" s="98">
        <v>0</v>
      </c>
      <c r="AC88" s="102">
        <v>0</v>
      </c>
    </row>
    <row r="89" spans="1:29" s="58" customFormat="1" ht="18" customHeight="1" x14ac:dyDescent="0.2">
      <c r="A89" s="69" t="s">
        <v>646</v>
      </c>
      <c r="B89" s="69">
        <v>775704608</v>
      </c>
      <c r="C89" s="69" t="s">
        <v>645</v>
      </c>
      <c r="D89" s="62" t="s">
        <v>326</v>
      </c>
      <c r="E89" s="63" t="s">
        <v>910</v>
      </c>
      <c r="F89" s="63"/>
      <c r="G89" s="62" t="s">
        <v>328</v>
      </c>
      <c r="H89" s="77" t="s">
        <v>911</v>
      </c>
      <c r="I89" s="63"/>
      <c r="J89" s="63"/>
      <c r="K89" s="63"/>
      <c r="L89" s="63">
        <v>4</v>
      </c>
      <c r="M89" s="63"/>
      <c r="N89" s="63" t="s">
        <v>121</v>
      </c>
      <c r="O89" s="63"/>
      <c r="P89" s="63"/>
      <c r="Q89" s="63" t="s">
        <v>836</v>
      </c>
      <c r="R89" s="63">
        <v>0</v>
      </c>
      <c r="S89" s="63"/>
      <c r="T89" s="63"/>
      <c r="U89" s="69"/>
      <c r="V89" s="69"/>
      <c r="W89" s="65"/>
      <c r="X89" s="89">
        <v>0</v>
      </c>
      <c r="Y89" s="66">
        <v>0</v>
      </c>
      <c r="Z89" s="89">
        <f t="shared" si="1"/>
        <v>0</v>
      </c>
      <c r="AA89" s="93">
        <v>0</v>
      </c>
      <c r="AB89" s="98">
        <v>0</v>
      </c>
      <c r="AC89" s="102">
        <v>0</v>
      </c>
    </row>
    <row r="90" spans="1:29" s="58" customFormat="1" ht="18" customHeight="1" x14ac:dyDescent="0.2">
      <c r="A90" s="67" t="s">
        <v>44</v>
      </c>
      <c r="B90" s="67">
        <v>775765305</v>
      </c>
      <c r="C90" s="61" t="s">
        <v>153</v>
      </c>
      <c r="D90" s="62" t="s">
        <v>1334</v>
      </c>
      <c r="E90" s="63" t="s">
        <v>154</v>
      </c>
      <c r="F90" s="62" t="s">
        <v>1285</v>
      </c>
      <c r="G90" s="62" t="s">
        <v>328</v>
      </c>
      <c r="H90" s="67"/>
      <c r="I90" s="64"/>
      <c r="J90" s="62" t="s">
        <v>1159</v>
      </c>
      <c r="K90" s="62" t="s">
        <v>1036</v>
      </c>
      <c r="L90" s="62">
        <v>1</v>
      </c>
      <c r="M90" s="62">
        <v>0</v>
      </c>
      <c r="N90" s="62" t="s">
        <v>511</v>
      </c>
      <c r="O90" s="64"/>
      <c r="P90" s="62"/>
      <c r="Q90" s="62" t="s">
        <v>690</v>
      </c>
      <c r="R90" s="62"/>
      <c r="S90" s="62" t="s">
        <v>112</v>
      </c>
      <c r="T90" s="62" t="s">
        <v>512</v>
      </c>
      <c r="U90" s="67" t="s">
        <v>513</v>
      </c>
      <c r="V90" s="67" t="s">
        <v>155</v>
      </c>
      <c r="W90" s="65"/>
      <c r="X90" s="89">
        <v>0</v>
      </c>
      <c r="Y90" s="66">
        <v>0</v>
      </c>
      <c r="Z90" s="89">
        <f t="shared" si="1"/>
        <v>0</v>
      </c>
      <c r="AA90" s="93">
        <v>0</v>
      </c>
      <c r="AB90" s="98">
        <v>0</v>
      </c>
      <c r="AC90" s="102">
        <v>0</v>
      </c>
    </row>
    <row r="91" spans="1:29" s="60" customFormat="1" ht="18" customHeight="1" x14ac:dyDescent="0.2">
      <c r="A91" s="67" t="s">
        <v>82</v>
      </c>
      <c r="B91" s="67">
        <v>775945109</v>
      </c>
      <c r="C91" s="61" t="s">
        <v>301</v>
      </c>
      <c r="D91" s="62" t="s">
        <v>1306</v>
      </c>
      <c r="E91" s="63" t="s">
        <v>302</v>
      </c>
      <c r="F91" s="62" t="s">
        <v>1286</v>
      </c>
      <c r="G91" s="62" t="s">
        <v>286</v>
      </c>
      <c r="H91" s="67"/>
      <c r="I91" s="64"/>
      <c r="J91" s="62" t="s">
        <v>1160</v>
      </c>
      <c r="K91" s="62" t="s">
        <v>103</v>
      </c>
      <c r="L91" s="62">
        <v>1</v>
      </c>
      <c r="M91" s="62">
        <v>0</v>
      </c>
      <c r="N91" s="62" t="s">
        <v>763</v>
      </c>
      <c r="O91" s="64"/>
      <c r="P91" s="62"/>
      <c r="Q91" s="62" t="s">
        <v>836</v>
      </c>
      <c r="R91" s="62"/>
      <c r="S91" s="62" t="s">
        <v>344</v>
      </c>
      <c r="T91" s="62" t="s">
        <v>550</v>
      </c>
      <c r="U91" s="67" t="str">
        <f>D91</f>
        <v xml:space="preserve">COPIAPO  </v>
      </c>
      <c r="V91" s="67"/>
      <c r="W91" s="65"/>
      <c r="X91" s="89">
        <v>14</v>
      </c>
      <c r="Y91" s="66">
        <v>14</v>
      </c>
      <c r="Z91" s="89">
        <f t="shared" si="1"/>
        <v>0</v>
      </c>
      <c r="AA91" s="93">
        <v>0</v>
      </c>
      <c r="AB91" s="98">
        <v>363860</v>
      </c>
      <c r="AC91" s="102">
        <v>8.0499999999999989</v>
      </c>
    </row>
    <row r="92" spans="1:29" s="58" customFormat="1" ht="18" customHeight="1" x14ac:dyDescent="0.2">
      <c r="A92" s="67" t="s">
        <v>75</v>
      </c>
      <c r="B92" s="67">
        <v>779347702</v>
      </c>
      <c r="C92" s="61" t="s">
        <v>389</v>
      </c>
      <c r="D92" s="62" t="s">
        <v>1313</v>
      </c>
      <c r="E92" s="63" t="s">
        <v>277</v>
      </c>
      <c r="F92" s="62" t="s">
        <v>1287</v>
      </c>
      <c r="G92" s="62" t="s">
        <v>328</v>
      </c>
      <c r="H92" s="67" t="s">
        <v>1225</v>
      </c>
      <c r="I92" s="64"/>
      <c r="J92" s="62" t="s">
        <v>278</v>
      </c>
      <c r="K92" s="62" t="s">
        <v>103</v>
      </c>
      <c r="L92" s="62">
        <v>3</v>
      </c>
      <c r="M92" s="62">
        <v>0</v>
      </c>
      <c r="N92" s="62" t="s">
        <v>343</v>
      </c>
      <c r="O92" s="64"/>
      <c r="P92" s="62"/>
      <c r="Q92" s="63" t="s">
        <v>836</v>
      </c>
      <c r="R92" s="62"/>
      <c r="S92" s="62" t="s">
        <v>390</v>
      </c>
      <c r="T92" s="62" t="s">
        <v>391</v>
      </c>
      <c r="U92" s="67" t="s">
        <v>359</v>
      </c>
      <c r="V92" s="67"/>
      <c r="W92" s="65"/>
      <c r="X92" s="89">
        <v>0</v>
      </c>
      <c r="Y92" s="66">
        <v>0</v>
      </c>
      <c r="Z92" s="89">
        <f t="shared" si="1"/>
        <v>0</v>
      </c>
      <c r="AA92" s="93">
        <v>0</v>
      </c>
      <c r="AB92" s="98">
        <v>0</v>
      </c>
      <c r="AC92" s="102">
        <v>0</v>
      </c>
    </row>
    <row r="93" spans="1:29" s="58" customFormat="1" ht="18" customHeight="1" x14ac:dyDescent="0.2">
      <c r="A93" s="67" t="s">
        <v>568</v>
      </c>
      <c r="B93" s="67">
        <v>784161900</v>
      </c>
      <c r="C93" s="61" t="s">
        <v>208</v>
      </c>
      <c r="D93" s="62" t="s">
        <v>430</v>
      </c>
      <c r="E93" s="63" t="s">
        <v>209</v>
      </c>
      <c r="F93" s="62">
        <v>996407930</v>
      </c>
      <c r="G93" s="62" t="s">
        <v>633</v>
      </c>
      <c r="H93" s="76" t="s">
        <v>691</v>
      </c>
      <c r="I93" s="64" t="s">
        <v>692</v>
      </c>
      <c r="J93" s="62"/>
      <c r="K93" s="62"/>
      <c r="L93" s="62">
        <v>1</v>
      </c>
      <c r="M93" s="62"/>
      <c r="N93" s="62" t="s">
        <v>425</v>
      </c>
      <c r="O93" s="64"/>
      <c r="P93" s="62"/>
      <c r="Q93" s="62" t="s">
        <v>363</v>
      </c>
      <c r="R93" s="62" t="s">
        <v>689</v>
      </c>
      <c r="S93" s="62" t="s">
        <v>571</v>
      </c>
      <c r="T93" s="62" t="s">
        <v>572</v>
      </c>
      <c r="U93" s="67" t="s">
        <v>430</v>
      </c>
      <c r="V93" s="67"/>
      <c r="W93" s="65"/>
      <c r="X93" s="89">
        <v>291</v>
      </c>
      <c r="Y93" s="66">
        <v>177</v>
      </c>
      <c r="Z93" s="89">
        <f t="shared" si="1"/>
        <v>114</v>
      </c>
      <c r="AA93" s="93">
        <v>0.86538461538461542</v>
      </c>
      <c r="AB93" s="98">
        <v>4610230</v>
      </c>
      <c r="AC93" s="102">
        <v>441.59999999999997</v>
      </c>
    </row>
    <row r="94" spans="1:29" s="58" customFormat="1" ht="18" customHeight="1" x14ac:dyDescent="0.2">
      <c r="A94" s="67" t="s">
        <v>83</v>
      </c>
      <c r="B94" s="67">
        <v>788014902</v>
      </c>
      <c r="C94" s="61" t="s">
        <v>303</v>
      </c>
      <c r="D94" s="62" t="s">
        <v>1306</v>
      </c>
      <c r="E94" s="63" t="s">
        <v>304</v>
      </c>
      <c r="F94" s="62" t="s">
        <v>1288</v>
      </c>
      <c r="G94" s="62" t="s">
        <v>286</v>
      </c>
      <c r="H94" s="67" t="s">
        <v>1226</v>
      </c>
      <c r="I94" s="64"/>
      <c r="J94" s="62" t="s">
        <v>1161</v>
      </c>
      <c r="K94" s="62" t="s">
        <v>1036</v>
      </c>
      <c r="L94" s="62">
        <v>1</v>
      </c>
      <c r="M94" s="62">
        <v>0</v>
      </c>
      <c r="N94" s="62" t="s">
        <v>1037</v>
      </c>
      <c r="O94" s="64"/>
      <c r="P94" s="62"/>
      <c r="Q94" s="62" t="s">
        <v>836</v>
      </c>
      <c r="R94" s="62"/>
      <c r="S94" s="62" t="s">
        <v>112</v>
      </c>
      <c r="T94" s="62" t="s">
        <v>551</v>
      </c>
      <c r="U94" s="67" t="str">
        <f>D94</f>
        <v xml:space="preserve">COPIAPO  </v>
      </c>
      <c r="V94" s="67"/>
      <c r="W94" s="65"/>
      <c r="X94" s="89">
        <v>247</v>
      </c>
      <c r="Y94" s="66">
        <v>217</v>
      </c>
      <c r="Z94" s="89">
        <f t="shared" si="1"/>
        <v>30</v>
      </c>
      <c r="AA94" s="93">
        <v>0.91390728476821192</v>
      </c>
      <c r="AB94" s="98">
        <v>5651830</v>
      </c>
      <c r="AC94" s="102">
        <v>162.14999999999998</v>
      </c>
    </row>
    <row r="95" spans="1:29" s="58" customFormat="1" ht="18" customHeight="1" x14ac:dyDescent="0.2">
      <c r="A95" s="67" t="s">
        <v>73</v>
      </c>
      <c r="B95" s="67" t="s">
        <v>1368</v>
      </c>
      <c r="C95" s="61" t="s">
        <v>258</v>
      </c>
      <c r="D95" s="62" t="s">
        <v>349</v>
      </c>
      <c r="E95" s="63" t="s">
        <v>259</v>
      </c>
      <c r="F95" s="62" t="s">
        <v>1289</v>
      </c>
      <c r="G95" s="62" t="s">
        <v>328</v>
      </c>
      <c r="H95" s="67" t="s">
        <v>1227</v>
      </c>
      <c r="I95" s="64"/>
      <c r="J95" s="62" t="s">
        <v>1162</v>
      </c>
      <c r="K95" s="62" t="s">
        <v>103</v>
      </c>
      <c r="L95" s="62">
        <v>2</v>
      </c>
      <c r="M95" s="62">
        <v>0</v>
      </c>
      <c r="N95" s="62" t="s">
        <v>340</v>
      </c>
      <c r="O95" s="64"/>
      <c r="P95" s="62"/>
      <c r="Q95" s="62" t="s">
        <v>369</v>
      </c>
      <c r="R95" s="62"/>
      <c r="S95" s="62" t="s">
        <v>344</v>
      </c>
      <c r="T95" s="62" t="s">
        <v>392</v>
      </c>
      <c r="U95" s="67" t="s">
        <v>349</v>
      </c>
      <c r="V95" s="67"/>
      <c r="W95" s="65"/>
      <c r="X95" s="89">
        <v>129</v>
      </c>
      <c r="Y95" s="66">
        <v>115</v>
      </c>
      <c r="Z95" s="89">
        <f t="shared" si="1"/>
        <v>14</v>
      </c>
      <c r="AA95" s="93">
        <v>0.88721804511278191</v>
      </c>
      <c r="AB95" s="98">
        <v>2955850</v>
      </c>
      <c r="AC95" s="102">
        <v>188.6</v>
      </c>
    </row>
    <row r="96" spans="1:29" s="58" customFormat="1" ht="18" customHeight="1" x14ac:dyDescent="0.2">
      <c r="A96" s="67" t="s">
        <v>85</v>
      </c>
      <c r="B96" s="67">
        <v>798279602</v>
      </c>
      <c r="C96" s="61" t="s">
        <v>313</v>
      </c>
      <c r="D96" s="62" t="s">
        <v>1335</v>
      </c>
      <c r="E96" s="63" t="s">
        <v>314</v>
      </c>
      <c r="F96" s="62" t="s">
        <v>1290</v>
      </c>
      <c r="G96" s="62" t="s">
        <v>286</v>
      </c>
      <c r="H96" s="67" t="s">
        <v>1228</v>
      </c>
      <c r="I96" s="64"/>
      <c r="J96" s="62" t="s">
        <v>1163</v>
      </c>
      <c r="K96" s="62" t="s">
        <v>1036</v>
      </c>
      <c r="L96" s="62">
        <v>3</v>
      </c>
      <c r="M96" s="62">
        <v>0</v>
      </c>
      <c r="N96" s="62" t="s">
        <v>552</v>
      </c>
      <c r="O96" s="64"/>
      <c r="P96" s="62"/>
      <c r="Q96" s="62" t="s">
        <v>836</v>
      </c>
      <c r="R96" s="62"/>
      <c r="S96" s="62" t="s">
        <v>553</v>
      </c>
      <c r="T96" s="62" t="s">
        <v>554</v>
      </c>
      <c r="U96" s="67" t="str">
        <f>D96</f>
        <v xml:space="preserve">COQUIMBO </v>
      </c>
      <c r="V96" s="67"/>
      <c r="W96" s="65"/>
      <c r="X96" s="89">
        <v>0</v>
      </c>
      <c r="Y96" s="66">
        <v>0</v>
      </c>
      <c r="Z96" s="89">
        <f t="shared" si="1"/>
        <v>0</v>
      </c>
      <c r="AA96" s="93">
        <v>0</v>
      </c>
      <c r="AB96" s="98">
        <v>0</v>
      </c>
      <c r="AC96" s="102">
        <v>0</v>
      </c>
    </row>
    <row r="97" spans="1:29" s="59" customFormat="1" ht="18" customHeight="1" x14ac:dyDescent="0.2">
      <c r="A97" s="67" t="s">
        <v>62</v>
      </c>
      <c r="B97" s="67">
        <v>798629603</v>
      </c>
      <c r="C97" s="61" t="s">
        <v>205</v>
      </c>
      <c r="D97" s="62" t="s">
        <v>430</v>
      </c>
      <c r="E97" s="63" t="s">
        <v>206</v>
      </c>
      <c r="F97" s="62" t="s">
        <v>207</v>
      </c>
      <c r="G97" s="62" t="s">
        <v>633</v>
      </c>
      <c r="H97" s="67" t="s">
        <v>685</v>
      </c>
      <c r="I97" s="64"/>
      <c r="J97" s="62" t="s">
        <v>1164</v>
      </c>
      <c r="K97" s="62" t="s">
        <v>140</v>
      </c>
      <c r="L97" s="62">
        <v>3</v>
      </c>
      <c r="M97" s="62">
        <v>0</v>
      </c>
      <c r="N97" s="62" t="s">
        <v>426</v>
      </c>
      <c r="O97" s="64"/>
      <c r="P97" s="75"/>
      <c r="Q97" s="62" t="s">
        <v>363</v>
      </c>
      <c r="R97" s="62">
        <v>972386296</v>
      </c>
      <c r="S97" s="62" t="s">
        <v>431</v>
      </c>
      <c r="T97" s="62" t="s">
        <v>432</v>
      </c>
      <c r="U97" s="67" t="s">
        <v>430</v>
      </c>
      <c r="V97" s="67"/>
      <c r="W97" s="65"/>
      <c r="X97" s="89">
        <v>240</v>
      </c>
      <c r="Y97" s="66">
        <v>234</v>
      </c>
      <c r="Z97" s="89">
        <f t="shared" si="1"/>
        <v>6</v>
      </c>
      <c r="AA97" s="93">
        <v>0.96744186046511627</v>
      </c>
      <c r="AB97" s="98">
        <v>5927660</v>
      </c>
      <c r="AC97" s="102">
        <v>557.75</v>
      </c>
    </row>
    <row r="98" spans="1:29" s="58" customFormat="1" ht="18" customHeight="1" x14ac:dyDescent="0.2">
      <c r="A98" s="67" t="s">
        <v>50</v>
      </c>
      <c r="B98" s="67">
        <v>799824906</v>
      </c>
      <c r="C98" s="61" t="s">
        <v>169</v>
      </c>
      <c r="D98" s="62" t="s">
        <v>1336</v>
      </c>
      <c r="E98" s="63" t="s">
        <v>170</v>
      </c>
      <c r="F98" s="62" t="s">
        <v>1291</v>
      </c>
      <c r="G98" s="62" t="s">
        <v>438</v>
      </c>
      <c r="H98" s="77" t="s">
        <v>867</v>
      </c>
      <c r="I98" s="64"/>
      <c r="J98" s="62" t="s">
        <v>1036</v>
      </c>
      <c r="K98" s="62" t="s">
        <v>103</v>
      </c>
      <c r="L98" s="62">
        <v>2</v>
      </c>
      <c r="M98" s="62">
        <v>0</v>
      </c>
      <c r="N98" s="62" t="s">
        <v>121</v>
      </c>
      <c r="O98" s="64"/>
      <c r="P98" s="62"/>
      <c r="Q98" s="62" t="s">
        <v>868</v>
      </c>
      <c r="R98" s="62"/>
      <c r="S98" s="62"/>
      <c r="T98" s="62" t="s">
        <v>869</v>
      </c>
      <c r="U98" s="67" t="s">
        <v>403</v>
      </c>
      <c r="V98" s="67" t="s">
        <v>101</v>
      </c>
      <c r="W98" s="65"/>
      <c r="X98" s="89">
        <v>2190</v>
      </c>
      <c r="Y98" s="66">
        <v>2046</v>
      </c>
      <c r="Z98" s="89">
        <f t="shared" si="1"/>
        <v>144</v>
      </c>
      <c r="AA98" s="93">
        <v>0.97529411764705887</v>
      </c>
      <c r="AB98" s="98">
        <v>51787540</v>
      </c>
      <c r="AC98" s="102">
        <v>2889.95</v>
      </c>
    </row>
    <row r="99" spans="1:29" s="58" customFormat="1" ht="18" customHeight="1" x14ac:dyDescent="0.2">
      <c r="A99" s="67" t="s">
        <v>86</v>
      </c>
      <c r="B99" s="67">
        <v>812103008</v>
      </c>
      <c r="C99" s="61" t="s">
        <v>319</v>
      </c>
      <c r="D99" s="62" t="s">
        <v>320</v>
      </c>
      <c r="E99" s="63" t="s">
        <v>321</v>
      </c>
      <c r="F99" s="62">
        <v>962479655</v>
      </c>
      <c r="G99" s="62" t="s">
        <v>438</v>
      </c>
      <c r="H99" s="77" t="s">
        <v>820</v>
      </c>
      <c r="I99" s="64" t="s">
        <v>1175</v>
      </c>
      <c r="J99" s="62" t="s">
        <v>1165</v>
      </c>
      <c r="K99" s="62" t="s">
        <v>1036</v>
      </c>
      <c r="L99" s="62">
        <v>2</v>
      </c>
      <c r="M99" s="62">
        <v>0</v>
      </c>
      <c r="N99" s="62" t="s">
        <v>563</v>
      </c>
      <c r="O99" s="64"/>
      <c r="P99" s="62">
        <v>5</v>
      </c>
      <c r="Q99" s="62" t="s">
        <v>369</v>
      </c>
      <c r="R99" s="62"/>
      <c r="S99" s="62" t="s">
        <v>112</v>
      </c>
      <c r="T99" s="62" t="s">
        <v>566</v>
      </c>
      <c r="U99" s="67" t="str">
        <f>D99</f>
        <v>SAN ANTONIO</v>
      </c>
      <c r="V99" s="67"/>
      <c r="W99" s="65"/>
      <c r="X99" s="89">
        <v>168</v>
      </c>
      <c r="Y99" s="66">
        <v>157</v>
      </c>
      <c r="Z99" s="89">
        <f t="shared" si="1"/>
        <v>11</v>
      </c>
      <c r="AA99" s="93">
        <v>0.80555555555555558</v>
      </c>
      <c r="AB99" s="98">
        <v>4045430</v>
      </c>
      <c r="AC99" s="102">
        <v>173.64999999999998</v>
      </c>
    </row>
    <row r="100" spans="1:29" s="58" customFormat="1" ht="18" customHeight="1" x14ac:dyDescent="0.2">
      <c r="A100" s="67" t="s">
        <v>34</v>
      </c>
      <c r="B100" s="67">
        <v>812425005</v>
      </c>
      <c r="C100" s="61" t="s">
        <v>107</v>
      </c>
      <c r="D100" s="62" t="s">
        <v>1323</v>
      </c>
      <c r="E100" s="63" t="s">
        <v>108</v>
      </c>
      <c r="F100" s="62" t="s">
        <v>1292</v>
      </c>
      <c r="G100" s="62" t="s">
        <v>328</v>
      </c>
      <c r="H100" s="67" t="s">
        <v>109</v>
      </c>
      <c r="I100" s="64"/>
      <c r="J100" s="62" t="s">
        <v>1036</v>
      </c>
      <c r="K100" s="62" t="s">
        <v>1036</v>
      </c>
      <c r="L100" s="62">
        <v>2</v>
      </c>
      <c r="M100" s="62">
        <v>0</v>
      </c>
      <c r="N100" s="62" t="s">
        <v>121</v>
      </c>
      <c r="O100" s="64"/>
      <c r="P100" s="75">
        <v>0.05</v>
      </c>
      <c r="Q100" s="62" t="s">
        <v>942</v>
      </c>
      <c r="R100" s="62"/>
      <c r="S100" s="62" t="s">
        <v>112</v>
      </c>
      <c r="T100" s="62" t="s">
        <v>456</v>
      </c>
      <c r="U100" s="67" t="s">
        <v>457</v>
      </c>
      <c r="V100" s="67" t="s">
        <v>101</v>
      </c>
      <c r="W100" s="65"/>
      <c r="X100" s="89">
        <v>367</v>
      </c>
      <c r="Y100" s="66">
        <v>330</v>
      </c>
      <c r="Z100" s="89">
        <f t="shared" si="1"/>
        <v>37</v>
      </c>
      <c r="AA100" s="93">
        <v>0.37467018469656993</v>
      </c>
      <c r="AB100" s="98">
        <v>8543700</v>
      </c>
      <c r="AC100" s="102">
        <v>1179.8999999999999</v>
      </c>
    </row>
    <row r="101" spans="1:29" s="58" customFormat="1" ht="18" customHeight="1" x14ac:dyDescent="0.2">
      <c r="A101" s="67" t="s">
        <v>34</v>
      </c>
      <c r="B101" s="67">
        <v>812425005</v>
      </c>
      <c r="C101" s="61" t="s">
        <v>107</v>
      </c>
      <c r="D101" s="62" t="s">
        <v>1309</v>
      </c>
      <c r="E101" s="63" t="s">
        <v>132</v>
      </c>
      <c r="F101" s="62" t="s">
        <v>1293</v>
      </c>
      <c r="G101" s="62" t="s">
        <v>328</v>
      </c>
      <c r="H101" s="67" t="s">
        <v>133</v>
      </c>
      <c r="I101" s="64"/>
      <c r="J101" s="62" t="s">
        <v>1036</v>
      </c>
      <c r="K101" s="62" t="s">
        <v>1036</v>
      </c>
      <c r="L101" s="62">
        <v>2</v>
      </c>
      <c r="M101" s="62">
        <v>0</v>
      </c>
      <c r="N101" s="62" t="s">
        <v>121</v>
      </c>
      <c r="O101" s="64"/>
      <c r="P101" s="75">
        <v>0.05</v>
      </c>
      <c r="Q101" s="62" t="s">
        <v>942</v>
      </c>
      <c r="R101" s="62"/>
      <c r="S101" s="62" t="s">
        <v>112</v>
      </c>
      <c r="T101" s="62" t="s">
        <v>456</v>
      </c>
      <c r="U101" s="67" t="s">
        <v>470</v>
      </c>
      <c r="V101" s="67" t="s">
        <v>101</v>
      </c>
      <c r="W101" s="65"/>
      <c r="X101" s="89">
        <v>367</v>
      </c>
      <c r="Y101" s="66">
        <v>330</v>
      </c>
      <c r="Z101" s="89">
        <f t="shared" si="1"/>
        <v>37</v>
      </c>
      <c r="AA101" s="93">
        <v>0.37467018469656993</v>
      </c>
      <c r="AB101" s="98">
        <v>8543700</v>
      </c>
      <c r="AC101" s="102">
        <v>1179.8999999999999</v>
      </c>
    </row>
    <row r="102" spans="1:29" s="58" customFormat="1" ht="18" customHeight="1" x14ac:dyDescent="0.2">
      <c r="A102" s="67" t="s">
        <v>34</v>
      </c>
      <c r="B102" s="67">
        <v>812425005</v>
      </c>
      <c r="C102" s="61" t="s">
        <v>176</v>
      </c>
      <c r="D102" s="62" t="s">
        <v>325</v>
      </c>
      <c r="E102" s="63" t="s">
        <v>177</v>
      </c>
      <c r="F102" s="62" t="s">
        <v>178</v>
      </c>
      <c r="G102" s="62" t="s">
        <v>328</v>
      </c>
      <c r="H102" s="67" t="s">
        <v>179</v>
      </c>
      <c r="I102" s="64"/>
      <c r="J102" s="62" t="s">
        <v>1036</v>
      </c>
      <c r="K102" s="62" t="s">
        <v>140</v>
      </c>
      <c r="L102" s="62">
        <v>3</v>
      </c>
      <c r="M102" s="62">
        <v>0</v>
      </c>
      <c r="N102" s="62"/>
      <c r="O102" s="64"/>
      <c r="P102" s="75">
        <v>0.05</v>
      </c>
      <c r="Q102" s="62" t="s">
        <v>942</v>
      </c>
      <c r="R102" s="62"/>
      <c r="S102" s="62"/>
      <c r="T102" s="62"/>
      <c r="U102" s="67"/>
      <c r="V102" s="67" t="s">
        <v>101</v>
      </c>
      <c r="W102" s="65"/>
      <c r="X102" s="89">
        <v>367</v>
      </c>
      <c r="Y102" s="66">
        <v>330</v>
      </c>
      <c r="Z102" s="89">
        <f t="shared" si="1"/>
        <v>37</v>
      </c>
      <c r="AA102" s="93">
        <v>0.37467018469656993</v>
      </c>
      <c r="AB102" s="98">
        <v>8543700</v>
      </c>
      <c r="AC102" s="102">
        <v>1179.8999999999999</v>
      </c>
    </row>
    <row r="103" spans="1:29" s="58" customFormat="1" ht="18" customHeight="1" x14ac:dyDescent="0.2">
      <c r="A103" s="67" t="s">
        <v>34</v>
      </c>
      <c r="B103" s="67">
        <v>812425005</v>
      </c>
      <c r="C103" s="61" t="s">
        <v>176</v>
      </c>
      <c r="D103" s="62" t="s">
        <v>1324</v>
      </c>
      <c r="E103" s="63" t="s">
        <v>225</v>
      </c>
      <c r="F103" s="62" t="s">
        <v>992</v>
      </c>
      <c r="G103" s="62" t="s">
        <v>438</v>
      </c>
      <c r="H103" s="67" t="s">
        <v>226</v>
      </c>
      <c r="I103" s="64" t="s">
        <v>1176</v>
      </c>
      <c r="J103" s="62" t="s">
        <v>1166</v>
      </c>
      <c r="K103" s="62" t="s">
        <v>1036</v>
      </c>
      <c r="L103" s="62">
        <v>1</v>
      </c>
      <c r="M103" s="62">
        <v>0</v>
      </c>
      <c r="N103" s="62" t="s">
        <v>121</v>
      </c>
      <c r="O103" s="64"/>
      <c r="P103" s="75">
        <v>0.05</v>
      </c>
      <c r="Q103" s="62" t="s">
        <v>942</v>
      </c>
      <c r="R103" s="62"/>
      <c r="S103" s="62" t="s">
        <v>112</v>
      </c>
      <c r="T103" s="62" t="s">
        <v>393</v>
      </c>
      <c r="U103" s="67" t="s">
        <v>326</v>
      </c>
      <c r="V103" s="67"/>
      <c r="W103" s="65"/>
      <c r="X103" s="89">
        <v>367</v>
      </c>
      <c r="Y103" s="66">
        <v>330</v>
      </c>
      <c r="Z103" s="89">
        <f t="shared" si="1"/>
        <v>37</v>
      </c>
      <c r="AA103" s="93">
        <v>0.37467018469656993</v>
      </c>
      <c r="AB103" s="98">
        <v>8543700</v>
      </c>
      <c r="AC103" s="102">
        <v>1179.8999999999999</v>
      </c>
    </row>
    <row r="104" spans="1:29" s="58" customFormat="1" ht="18" customHeight="1" x14ac:dyDescent="0.2">
      <c r="A104" s="67" t="s">
        <v>34</v>
      </c>
      <c r="B104" s="67">
        <v>812425005</v>
      </c>
      <c r="C104" s="61" t="s">
        <v>227</v>
      </c>
      <c r="D104" s="62" t="s">
        <v>1337</v>
      </c>
      <c r="E104" s="63" t="s">
        <v>228</v>
      </c>
      <c r="F104" s="62" t="s">
        <v>229</v>
      </c>
      <c r="G104" s="62" t="s">
        <v>438</v>
      </c>
      <c r="H104" s="67" t="s">
        <v>1229</v>
      </c>
      <c r="I104" s="64"/>
      <c r="J104" s="62" t="s">
        <v>1036</v>
      </c>
      <c r="K104" s="62" t="s">
        <v>103</v>
      </c>
      <c r="L104" s="62">
        <v>3</v>
      </c>
      <c r="M104" s="62">
        <v>0</v>
      </c>
      <c r="N104" s="62" t="s">
        <v>121</v>
      </c>
      <c r="O104" s="64"/>
      <c r="P104" s="75">
        <v>0.05</v>
      </c>
      <c r="Q104" s="62" t="s">
        <v>942</v>
      </c>
      <c r="R104" s="62"/>
      <c r="S104" s="62" t="s">
        <v>112</v>
      </c>
      <c r="T104" s="62" t="s">
        <v>393</v>
      </c>
      <c r="U104" s="67" t="s">
        <v>448</v>
      </c>
      <c r="V104" s="67"/>
      <c r="W104" s="65"/>
      <c r="X104" s="89">
        <v>367</v>
      </c>
      <c r="Y104" s="66">
        <v>330</v>
      </c>
      <c r="Z104" s="89">
        <f t="shared" si="1"/>
        <v>37</v>
      </c>
      <c r="AA104" s="93">
        <v>0.37467018469656993</v>
      </c>
      <c r="AB104" s="98">
        <v>8543700</v>
      </c>
      <c r="AC104" s="102">
        <v>1179.8999999999999</v>
      </c>
    </row>
    <row r="105" spans="1:29" s="59" customFormat="1" ht="18" customHeight="1" x14ac:dyDescent="0.2">
      <c r="A105" s="67" t="s">
        <v>34</v>
      </c>
      <c r="B105" s="67">
        <v>812425005</v>
      </c>
      <c r="C105" s="61" t="s">
        <v>264</v>
      </c>
      <c r="D105" s="62" t="s">
        <v>394</v>
      </c>
      <c r="E105" s="63" t="s">
        <v>265</v>
      </c>
      <c r="F105" s="62" t="s">
        <v>1036</v>
      </c>
      <c r="G105" s="62" t="s">
        <v>328</v>
      </c>
      <c r="H105" s="67" t="s">
        <v>266</v>
      </c>
      <c r="I105" s="64"/>
      <c r="J105" s="62" t="s">
        <v>1036</v>
      </c>
      <c r="K105" s="62" t="s">
        <v>366</v>
      </c>
      <c r="L105" s="62">
        <v>2</v>
      </c>
      <c r="M105" s="62">
        <v>0</v>
      </c>
      <c r="N105" s="62" t="s">
        <v>121</v>
      </c>
      <c r="O105" s="64"/>
      <c r="P105" s="75">
        <v>0.05</v>
      </c>
      <c r="Q105" s="62" t="s">
        <v>942</v>
      </c>
      <c r="R105" s="62"/>
      <c r="S105" s="62" t="s">
        <v>112</v>
      </c>
      <c r="T105" s="62" t="s">
        <v>393</v>
      </c>
      <c r="U105" s="67" t="s">
        <v>394</v>
      </c>
      <c r="V105" s="67"/>
      <c r="W105" s="65"/>
      <c r="X105" s="89">
        <v>367</v>
      </c>
      <c r="Y105" s="66">
        <v>330</v>
      </c>
      <c r="Z105" s="89">
        <f t="shared" si="1"/>
        <v>37</v>
      </c>
      <c r="AA105" s="93">
        <v>0.37467018469656993</v>
      </c>
      <c r="AB105" s="98">
        <v>8543700</v>
      </c>
      <c r="AC105" s="102">
        <v>1179.8999999999999</v>
      </c>
    </row>
    <row r="106" spans="1:29" s="58" customFormat="1" ht="18" customHeight="1" x14ac:dyDescent="0.2">
      <c r="A106" s="67" t="s">
        <v>48</v>
      </c>
      <c r="B106" s="67">
        <v>820166000</v>
      </c>
      <c r="C106" s="61" t="s">
        <v>164</v>
      </c>
      <c r="D106" s="62" t="s">
        <v>1312</v>
      </c>
      <c r="E106" s="63" t="s">
        <v>165</v>
      </c>
      <c r="F106" s="62" t="s">
        <v>1294</v>
      </c>
      <c r="G106" s="62" t="s">
        <v>438</v>
      </c>
      <c r="H106" s="76" t="s">
        <v>524</v>
      </c>
      <c r="I106" s="64"/>
      <c r="J106" s="62" t="s">
        <v>1036</v>
      </c>
      <c r="K106" s="68">
        <v>41620</v>
      </c>
      <c r="L106" s="62">
        <v>3</v>
      </c>
      <c r="M106" s="62">
        <v>0</v>
      </c>
      <c r="N106" s="62" t="s">
        <v>525</v>
      </c>
      <c r="O106" s="64"/>
      <c r="P106" s="62"/>
      <c r="Q106" s="62" t="s">
        <v>836</v>
      </c>
      <c r="R106" s="62"/>
      <c r="S106" s="62" t="s">
        <v>112</v>
      </c>
      <c r="T106" s="62" t="s">
        <v>526</v>
      </c>
      <c r="U106" s="67" t="s">
        <v>523</v>
      </c>
      <c r="V106" s="67" t="s">
        <v>166</v>
      </c>
      <c r="W106" s="65"/>
      <c r="X106" s="89">
        <v>152</v>
      </c>
      <c r="Y106" s="66">
        <v>133</v>
      </c>
      <c r="Z106" s="89">
        <f t="shared" si="1"/>
        <v>19</v>
      </c>
      <c r="AA106" s="93">
        <v>0.87735849056603776</v>
      </c>
      <c r="AB106" s="98">
        <v>3323670</v>
      </c>
      <c r="AC106" s="102">
        <v>213.89999999999998</v>
      </c>
    </row>
    <row r="107" spans="1:29" s="58" customFormat="1" ht="18" customHeight="1" x14ac:dyDescent="0.2">
      <c r="A107" s="67" t="s">
        <v>60</v>
      </c>
      <c r="B107" s="67">
        <v>821207002</v>
      </c>
      <c r="C107" s="61" t="s">
        <v>201</v>
      </c>
      <c r="D107" s="62" t="s">
        <v>430</v>
      </c>
      <c r="E107" s="63" t="s">
        <v>202</v>
      </c>
      <c r="F107" s="62" t="s">
        <v>1295</v>
      </c>
      <c r="G107" s="62" t="s">
        <v>633</v>
      </c>
      <c r="H107" s="67" t="s">
        <v>704</v>
      </c>
      <c r="I107" s="64"/>
      <c r="J107" s="62" t="s">
        <v>1167</v>
      </c>
      <c r="K107" s="62" t="s">
        <v>1036</v>
      </c>
      <c r="L107" s="62">
        <v>1</v>
      </c>
      <c r="M107" s="62">
        <v>0</v>
      </c>
      <c r="N107" s="62" t="s">
        <v>426</v>
      </c>
      <c r="O107" s="64"/>
      <c r="P107" s="62"/>
      <c r="Q107" s="62" t="s">
        <v>690</v>
      </c>
      <c r="R107" s="62"/>
      <c r="S107" s="62" t="s">
        <v>112</v>
      </c>
      <c r="T107" s="62" t="s">
        <v>433</v>
      </c>
      <c r="U107" s="67" t="s">
        <v>430</v>
      </c>
      <c r="V107" s="67"/>
      <c r="W107" s="65"/>
      <c r="X107" s="89">
        <v>0</v>
      </c>
      <c r="Y107" s="66">
        <v>0</v>
      </c>
      <c r="Z107" s="89">
        <f t="shared" si="1"/>
        <v>0</v>
      </c>
      <c r="AA107" s="93">
        <v>0</v>
      </c>
      <c r="AB107" s="98">
        <v>0</v>
      </c>
      <c r="AC107" s="102">
        <v>0</v>
      </c>
    </row>
    <row r="108" spans="1:29" s="58" customFormat="1" ht="18" customHeight="1" x14ac:dyDescent="0.2">
      <c r="A108" s="69" t="s">
        <v>644</v>
      </c>
      <c r="B108" s="69">
        <v>833827006</v>
      </c>
      <c r="C108" s="69" t="s">
        <v>1354</v>
      </c>
      <c r="D108" s="62" t="s">
        <v>326</v>
      </c>
      <c r="E108" s="63"/>
      <c r="F108" s="63"/>
      <c r="G108" s="62" t="s">
        <v>438</v>
      </c>
      <c r="H108" s="67"/>
      <c r="I108" s="63"/>
      <c r="J108" s="63"/>
      <c r="K108" s="63"/>
      <c r="L108" s="63"/>
      <c r="M108" s="63"/>
      <c r="N108" s="63"/>
      <c r="O108" s="63"/>
      <c r="P108" s="63"/>
      <c r="Q108" s="63" t="s">
        <v>868</v>
      </c>
      <c r="R108" s="63">
        <v>0</v>
      </c>
      <c r="S108" s="63"/>
      <c r="T108" s="63"/>
      <c r="U108" s="69"/>
      <c r="V108" s="69"/>
      <c r="W108" s="65"/>
      <c r="X108" s="89">
        <v>0</v>
      </c>
      <c r="Y108" s="66">
        <v>0</v>
      </c>
      <c r="Z108" s="89">
        <f t="shared" si="1"/>
        <v>0</v>
      </c>
      <c r="AA108" s="93">
        <v>0</v>
      </c>
      <c r="AB108" s="98">
        <v>0</v>
      </c>
      <c r="AC108" s="102">
        <v>0</v>
      </c>
    </row>
    <row r="109" spans="1:29" s="58" customFormat="1" ht="18" customHeight="1" x14ac:dyDescent="0.2">
      <c r="A109" s="67" t="s">
        <v>84</v>
      </c>
      <c r="B109" s="67">
        <v>837158001</v>
      </c>
      <c r="C109" s="61" t="s">
        <v>309</v>
      </c>
      <c r="D109" s="62" t="s">
        <v>1338</v>
      </c>
      <c r="E109" s="63" t="s">
        <v>310</v>
      </c>
      <c r="F109" s="62" t="s">
        <v>1296</v>
      </c>
      <c r="G109" s="62" t="s">
        <v>286</v>
      </c>
      <c r="H109" s="67" t="s">
        <v>1230</v>
      </c>
      <c r="I109" s="64"/>
      <c r="J109" s="62" t="s">
        <v>1168</v>
      </c>
      <c r="K109" s="62" t="s">
        <v>103</v>
      </c>
      <c r="L109" s="62">
        <v>3</v>
      </c>
      <c r="M109" s="62">
        <v>0</v>
      </c>
      <c r="N109" s="62" t="s">
        <v>560</v>
      </c>
      <c r="O109" s="64"/>
      <c r="P109" s="62"/>
      <c r="Q109" s="62" t="s">
        <v>836</v>
      </c>
      <c r="R109" s="62"/>
      <c r="S109" s="62" t="s">
        <v>112</v>
      </c>
      <c r="T109" s="62" t="s">
        <v>561</v>
      </c>
      <c r="U109" s="67" t="str">
        <f>D109</f>
        <v xml:space="preserve">VALLENAR </v>
      </c>
      <c r="V109" s="67"/>
      <c r="W109" s="65"/>
      <c r="X109" s="89">
        <v>108</v>
      </c>
      <c r="Y109" s="66">
        <v>91</v>
      </c>
      <c r="Z109" s="89">
        <f t="shared" si="1"/>
        <v>17</v>
      </c>
      <c r="AA109" s="93">
        <v>0</v>
      </c>
      <c r="AB109" s="98">
        <v>2353090</v>
      </c>
      <c r="AC109" s="102">
        <v>0</v>
      </c>
    </row>
    <row r="110" spans="1:29" s="58" customFormat="1" ht="18" customHeight="1" x14ac:dyDescent="0.2">
      <c r="A110" s="67" t="s">
        <v>41</v>
      </c>
      <c r="B110" s="67">
        <v>856907007</v>
      </c>
      <c r="C110" s="61" t="s">
        <v>145</v>
      </c>
      <c r="D110" s="62" t="s">
        <v>1321</v>
      </c>
      <c r="E110" s="63" t="s">
        <v>146</v>
      </c>
      <c r="F110" s="62" t="s">
        <v>1297</v>
      </c>
      <c r="G110" s="62" t="s">
        <v>438</v>
      </c>
      <c r="H110" s="77" t="s">
        <v>793</v>
      </c>
      <c r="I110" s="64"/>
      <c r="J110" s="62" t="s">
        <v>1169</v>
      </c>
      <c r="K110" s="62" t="s">
        <v>1113</v>
      </c>
      <c r="L110" s="62">
        <v>1</v>
      </c>
      <c r="M110" s="62">
        <v>0</v>
      </c>
      <c r="N110" s="62" t="s">
        <v>495</v>
      </c>
      <c r="O110" s="64"/>
      <c r="P110" s="75">
        <v>0.05</v>
      </c>
      <c r="Q110" s="62" t="s">
        <v>794</v>
      </c>
      <c r="R110" s="62">
        <v>96762758</v>
      </c>
      <c r="S110" s="62" t="s">
        <v>112</v>
      </c>
      <c r="T110" s="62" t="s">
        <v>496</v>
      </c>
      <c r="U110" s="67" t="s">
        <v>402</v>
      </c>
      <c r="V110" s="67"/>
      <c r="W110" s="65"/>
      <c r="X110" s="89">
        <v>1254</v>
      </c>
      <c r="Y110" s="66">
        <v>1102</v>
      </c>
      <c r="Z110" s="89">
        <f t="shared" si="1"/>
        <v>152</v>
      </c>
      <c r="AA110" s="93">
        <v>0.88177777777777777</v>
      </c>
      <c r="AB110" s="98">
        <v>28166980</v>
      </c>
      <c r="AC110" s="102">
        <v>1355.85</v>
      </c>
    </row>
    <row r="111" spans="1:29" s="58" customFormat="1" ht="18" customHeight="1" x14ac:dyDescent="0.2">
      <c r="A111" s="67" t="s">
        <v>37</v>
      </c>
      <c r="B111" s="67">
        <v>869336009</v>
      </c>
      <c r="C111" s="61" t="s">
        <v>129</v>
      </c>
      <c r="D111" s="62" t="s">
        <v>1309</v>
      </c>
      <c r="E111" s="63" t="s">
        <v>130</v>
      </c>
      <c r="F111" s="62">
        <v>993255890</v>
      </c>
      <c r="G111" s="62" t="s">
        <v>328</v>
      </c>
      <c r="H111" s="77" t="s">
        <v>872</v>
      </c>
      <c r="I111" s="64"/>
      <c r="J111" s="62" t="s">
        <v>1170</v>
      </c>
      <c r="K111" s="62" t="s">
        <v>103</v>
      </c>
      <c r="L111" s="62">
        <v>1</v>
      </c>
      <c r="M111" s="62">
        <v>0</v>
      </c>
      <c r="N111" s="62" t="s">
        <v>471</v>
      </c>
      <c r="O111" s="64"/>
      <c r="P111" s="62"/>
      <c r="Q111" s="62" t="s">
        <v>836</v>
      </c>
      <c r="R111" s="62"/>
      <c r="S111" s="62" t="s">
        <v>112</v>
      </c>
      <c r="T111" s="62" t="s">
        <v>472</v>
      </c>
      <c r="U111" s="67" t="s">
        <v>470</v>
      </c>
      <c r="V111" s="67" t="s">
        <v>131</v>
      </c>
      <c r="W111" s="65"/>
      <c r="X111" s="89">
        <v>50</v>
      </c>
      <c r="Y111" s="66">
        <v>49</v>
      </c>
      <c r="Z111" s="89">
        <f t="shared" si="1"/>
        <v>1</v>
      </c>
      <c r="AA111" s="93">
        <v>0.92156862745098034</v>
      </c>
      <c r="AB111" s="98">
        <v>1224510</v>
      </c>
      <c r="AC111" s="102">
        <v>120.74999999999999</v>
      </c>
    </row>
    <row r="112" spans="1:29" s="58" customFormat="1" ht="18" customHeight="1" x14ac:dyDescent="0.2">
      <c r="A112" s="67" t="s">
        <v>51</v>
      </c>
      <c r="B112" s="67">
        <v>892586004</v>
      </c>
      <c r="C112" s="61" t="s">
        <v>171</v>
      </c>
      <c r="D112" s="62" t="s">
        <v>1336</v>
      </c>
      <c r="E112" s="63" t="s">
        <v>172</v>
      </c>
      <c r="F112" s="62" t="s">
        <v>1298</v>
      </c>
      <c r="G112" s="62" t="s">
        <v>438</v>
      </c>
      <c r="H112" s="77" t="s">
        <v>796</v>
      </c>
      <c r="I112" s="64"/>
      <c r="J112" s="62" t="s">
        <v>527</v>
      </c>
      <c r="K112" s="62" t="s">
        <v>1113</v>
      </c>
      <c r="L112" s="62">
        <v>1</v>
      </c>
      <c r="M112" s="62">
        <v>0</v>
      </c>
      <c r="N112" s="62" t="s">
        <v>495</v>
      </c>
      <c r="O112" s="64"/>
      <c r="P112" s="75">
        <v>0.05</v>
      </c>
      <c r="Q112" s="62" t="s">
        <v>795</v>
      </c>
      <c r="R112" s="62"/>
      <c r="S112" s="62" t="s">
        <v>112</v>
      </c>
      <c r="T112" s="62" t="s">
        <v>496</v>
      </c>
      <c r="U112" s="67" t="s">
        <v>403</v>
      </c>
      <c r="V112" s="67" t="s">
        <v>173</v>
      </c>
      <c r="W112" s="65"/>
      <c r="X112" s="89">
        <v>481</v>
      </c>
      <c r="Y112" s="66">
        <v>454</v>
      </c>
      <c r="Z112" s="89">
        <f t="shared" si="1"/>
        <v>27</v>
      </c>
      <c r="AA112" s="93">
        <v>0.85539215686274506</v>
      </c>
      <c r="AB112" s="98">
        <v>11679460</v>
      </c>
      <c r="AC112" s="102">
        <v>493.34999999999997</v>
      </c>
    </row>
    <row r="113" spans="1:29" s="58" customFormat="1" ht="18" customHeight="1" x14ac:dyDescent="0.2">
      <c r="A113" s="67" t="s">
        <v>604</v>
      </c>
      <c r="B113" s="67">
        <v>94111564</v>
      </c>
      <c r="C113" s="61" t="s">
        <v>601</v>
      </c>
      <c r="D113" s="62" t="s">
        <v>602</v>
      </c>
      <c r="E113" s="63" t="s">
        <v>603</v>
      </c>
      <c r="F113" s="62">
        <v>988285720</v>
      </c>
      <c r="G113" s="62" t="s">
        <v>725</v>
      </c>
      <c r="H113" s="67" t="s">
        <v>605</v>
      </c>
      <c r="I113" s="62"/>
      <c r="J113" s="70" t="s">
        <v>601</v>
      </c>
      <c r="K113" s="70"/>
      <c r="L113" s="62">
        <v>4</v>
      </c>
      <c r="M113" s="62"/>
      <c r="N113" s="62" t="s">
        <v>336</v>
      </c>
      <c r="O113" s="64"/>
      <c r="P113" s="62"/>
      <c r="Q113" s="71" t="s">
        <v>877</v>
      </c>
      <c r="R113" s="71">
        <v>88285720</v>
      </c>
      <c r="S113" s="71" t="s">
        <v>407</v>
      </c>
      <c r="T113" s="71" t="s">
        <v>606</v>
      </c>
      <c r="U113" s="74" t="s">
        <v>602</v>
      </c>
      <c r="V113" s="74">
        <v>0</v>
      </c>
      <c r="W113" s="65"/>
      <c r="X113" s="89">
        <v>0</v>
      </c>
      <c r="Y113" s="66">
        <v>0</v>
      </c>
      <c r="Z113" s="89">
        <f t="shared" si="1"/>
        <v>0</v>
      </c>
      <c r="AA113" s="93">
        <v>0</v>
      </c>
      <c r="AB113" s="98">
        <v>0</v>
      </c>
      <c r="AC113" s="102">
        <v>0</v>
      </c>
    </row>
    <row r="114" spans="1:29" s="58" customFormat="1" ht="18" customHeight="1" x14ac:dyDescent="0.2">
      <c r="A114" s="67" t="s">
        <v>576</v>
      </c>
      <c r="B114" s="67">
        <v>96234422</v>
      </c>
      <c r="C114" s="61" t="s">
        <v>577</v>
      </c>
      <c r="D114" s="62" t="s">
        <v>578</v>
      </c>
      <c r="E114" s="63" t="s">
        <v>802</v>
      </c>
      <c r="F114" s="62">
        <v>94357123</v>
      </c>
      <c r="G114" s="62" t="s">
        <v>328</v>
      </c>
      <c r="H114" s="77" t="s">
        <v>804</v>
      </c>
      <c r="I114" s="64"/>
      <c r="J114" s="62"/>
      <c r="K114" s="62"/>
      <c r="L114" s="62">
        <v>1</v>
      </c>
      <c r="M114" s="62"/>
      <c r="N114" s="62" t="s">
        <v>343</v>
      </c>
      <c r="O114" s="64"/>
      <c r="P114" s="75">
        <v>0.05</v>
      </c>
      <c r="Q114" s="62" t="s">
        <v>690</v>
      </c>
      <c r="R114" s="62"/>
      <c r="S114" s="62"/>
      <c r="T114" s="62"/>
      <c r="U114" s="67"/>
      <c r="V114" s="67"/>
      <c r="W114" s="65"/>
      <c r="X114" s="89">
        <v>228</v>
      </c>
      <c r="Y114" s="66">
        <v>198</v>
      </c>
      <c r="Z114" s="89">
        <f t="shared" si="1"/>
        <v>30</v>
      </c>
      <c r="AA114" s="93">
        <v>0.77681159420289858</v>
      </c>
      <c r="AB114" s="98">
        <v>5030020</v>
      </c>
      <c r="AC114" s="102">
        <v>359.95</v>
      </c>
    </row>
    <row r="115" spans="1:29" s="58" customFormat="1" ht="18" customHeight="1" x14ac:dyDescent="0.2">
      <c r="A115" s="67" t="s">
        <v>631</v>
      </c>
      <c r="B115" s="67">
        <v>98117083</v>
      </c>
      <c r="C115" s="61" t="s">
        <v>124</v>
      </c>
      <c r="D115" s="62" t="s">
        <v>1331</v>
      </c>
      <c r="E115" s="63" t="s">
        <v>125</v>
      </c>
      <c r="F115" s="62" t="s">
        <v>1299</v>
      </c>
      <c r="G115" s="62" t="s">
        <v>328</v>
      </c>
      <c r="H115" s="76" t="s">
        <v>463</v>
      </c>
      <c r="I115" s="64"/>
      <c r="J115" s="62" t="s">
        <v>464</v>
      </c>
      <c r="K115" s="62" t="s">
        <v>366</v>
      </c>
      <c r="L115" s="62">
        <v>2</v>
      </c>
      <c r="M115" s="62">
        <v>0</v>
      </c>
      <c r="N115" s="62" t="s">
        <v>351</v>
      </c>
      <c r="O115" s="64"/>
      <c r="P115" s="62"/>
      <c r="Q115" s="62" t="s">
        <v>690</v>
      </c>
      <c r="R115" s="62">
        <v>98277312</v>
      </c>
      <c r="S115" s="62" t="s">
        <v>344</v>
      </c>
      <c r="T115" s="62" t="s">
        <v>465</v>
      </c>
      <c r="U115" s="67" t="s">
        <v>466</v>
      </c>
      <c r="V115" s="67" t="s">
        <v>126</v>
      </c>
      <c r="W115" s="65"/>
      <c r="X115" s="89">
        <v>0</v>
      </c>
      <c r="Y115" s="66">
        <v>0</v>
      </c>
      <c r="Z115" s="89">
        <f t="shared" si="1"/>
        <v>0</v>
      </c>
      <c r="AA115" s="93">
        <v>0</v>
      </c>
      <c r="AB115" s="98">
        <v>0</v>
      </c>
      <c r="AC115" s="102">
        <v>0</v>
      </c>
    </row>
    <row r="116" spans="1:29" s="58" customFormat="1" ht="18" customHeight="1" x14ac:dyDescent="0.2">
      <c r="A116" s="67" t="s">
        <v>38</v>
      </c>
      <c r="B116" s="67">
        <v>929460006</v>
      </c>
      <c r="C116" s="61" t="s">
        <v>134</v>
      </c>
      <c r="D116" s="62" t="s">
        <v>481</v>
      </c>
      <c r="E116" s="63" t="s">
        <v>135</v>
      </c>
      <c r="F116" s="62">
        <v>950365017</v>
      </c>
      <c r="G116" s="62" t="s">
        <v>438</v>
      </c>
      <c r="H116" s="67" t="s">
        <v>1231</v>
      </c>
      <c r="I116" s="64"/>
      <c r="J116" s="62" t="s">
        <v>1171</v>
      </c>
      <c r="K116" s="62" t="s">
        <v>103</v>
      </c>
      <c r="L116" s="62">
        <v>1</v>
      </c>
      <c r="M116" s="62">
        <v>0</v>
      </c>
      <c r="N116" s="62" t="s">
        <v>479</v>
      </c>
      <c r="O116" s="64"/>
      <c r="P116" s="75">
        <v>0.05</v>
      </c>
      <c r="Q116" s="62" t="s">
        <v>599</v>
      </c>
      <c r="R116" s="62"/>
      <c r="S116" s="62" t="s">
        <v>112</v>
      </c>
      <c r="T116" s="62" t="s">
        <v>480</v>
      </c>
      <c r="U116" s="67" t="s">
        <v>481</v>
      </c>
      <c r="V116" s="67" t="s">
        <v>136</v>
      </c>
      <c r="W116" s="65"/>
      <c r="X116" s="89">
        <v>640</v>
      </c>
      <c r="Y116" s="66">
        <v>534</v>
      </c>
      <c r="Z116" s="89">
        <f t="shared" si="1"/>
        <v>106</v>
      </c>
      <c r="AA116" s="93">
        <v>0.88023952095808389</v>
      </c>
      <c r="AB116" s="98">
        <v>13672660</v>
      </c>
      <c r="AC116" s="102">
        <v>571.54999999999995</v>
      </c>
    </row>
    <row r="117" spans="1:29" s="58" customFormat="1" ht="18" customHeight="1" x14ac:dyDescent="0.2">
      <c r="A117" s="67" t="s">
        <v>46</v>
      </c>
      <c r="B117" s="67">
        <v>932240009</v>
      </c>
      <c r="C117" s="61" t="s">
        <v>159</v>
      </c>
      <c r="D117" s="62" t="s">
        <v>394</v>
      </c>
      <c r="E117" s="63" t="s">
        <v>160</v>
      </c>
      <c r="F117" s="62">
        <v>953729221</v>
      </c>
      <c r="G117" s="62" t="s">
        <v>328</v>
      </c>
      <c r="H117" s="77" t="s">
        <v>883</v>
      </c>
      <c r="I117" s="64" t="s">
        <v>1177</v>
      </c>
      <c r="J117" s="62" t="s">
        <v>884</v>
      </c>
      <c r="K117" s="62" t="s">
        <v>341</v>
      </c>
      <c r="L117" s="62">
        <v>4</v>
      </c>
      <c r="M117" s="62">
        <v>0</v>
      </c>
      <c r="N117" s="62" t="s">
        <v>111</v>
      </c>
      <c r="O117" s="64"/>
      <c r="P117" s="62"/>
      <c r="Q117" s="62" t="s">
        <v>868</v>
      </c>
      <c r="R117" s="62"/>
      <c r="S117" s="62" t="s">
        <v>112</v>
      </c>
      <c r="T117" s="62" t="s">
        <v>113</v>
      </c>
      <c r="U117" s="67" t="s">
        <v>394</v>
      </c>
      <c r="V117" s="67" t="s">
        <v>116</v>
      </c>
      <c r="W117" s="65"/>
      <c r="X117" s="89">
        <v>1848</v>
      </c>
      <c r="Y117" s="66">
        <v>1781</v>
      </c>
      <c r="Z117" s="89">
        <f t="shared" si="1"/>
        <v>67</v>
      </c>
      <c r="AA117" s="93">
        <v>0</v>
      </c>
      <c r="AB117" s="98">
        <v>45855190</v>
      </c>
      <c r="AC117" s="102">
        <v>0</v>
      </c>
    </row>
    <row r="118" spans="1:29" s="58" customFormat="1" ht="18" customHeight="1" x14ac:dyDescent="0.2">
      <c r="A118" s="67" t="s">
        <v>63</v>
      </c>
      <c r="B118" s="67">
        <v>965890408</v>
      </c>
      <c r="C118" s="61" t="s">
        <v>217</v>
      </c>
      <c r="D118" s="62" t="s">
        <v>405</v>
      </c>
      <c r="E118" s="63" t="s">
        <v>218</v>
      </c>
      <c r="F118" s="62" t="s">
        <v>1300</v>
      </c>
      <c r="G118" s="62" t="s">
        <v>438</v>
      </c>
      <c r="H118" s="67" t="s">
        <v>1232</v>
      </c>
      <c r="I118" s="64"/>
      <c r="J118" s="62" t="s">
        <v>1172</v>
      </c>
      <c r="K118" s="62" t="s">
        <v>140</v>
      </c>
      <c r="L118" s="62">
        <v>1</v>
      </c>
      <c r="M118" s="62">
        <v>0</v>
      </c>
      <c r="N118" s="62" t="s">
        <v>439</v>
      </c>
      <c r="O118" s="64" t="s">
        <v>598</v>
      </c>
      <c r="P118" s="75">
        <v>0.05</v>
      </c>
      <c r="Q118" s="62" t="s">
        <v>942</v>
      </c>
      <c r="R118" s="62"/>
      <c r="S118" s="62" t="s">
        <v>112</v>
      </c>
      <c r="T118" s="62" t="s">
        <v>440</v>
      </c>
      <c r="U118" s="67" t="s">
        <v>405</v>
      </c>
      <c r="V118" s="67"/>
      <c r="W118" s="65"/>
      <c r="X118" s="89">
        <v>0</v>
      </c>
      <c r="Y118" s="66">
        <v>0</v>
      </c>
      <c r="Z118" s="89">
        <f t="shared" si="1"/>
        <v>0</v>
      </c>
      <c r="AA118" s="93">
        <v>0</v>
      </c>
      <c r="AB118" s="98">
        <v>0</v>
      </c>
      <c r="AC118" s="102">
        <v>593.4</v>
      </c>
    </row>
    <row r="119" spans="1:29" s="58" customFormat="1" ht="18" customHeight="1" x14ac:dyDescent="0.2">
      <c r="A119" s="67" t="s">
        <v>57</v>
      </c>
      <c r="B119" s="67">
        <v>967323802</v>
      </c>
      <c r="C119" s="61" t="s">
        <v>191</v>
      </c>
      <c r="D119" s="62" t="s">
        <v>419</v>
      </c>
      <c r="E119" s="63" t="s">
        <v>192</v>
      </c>
      <c r="F119" s="62" t="s">
        <v>1301</v>
      </c>
      <c r="G119" s="62" t="s">
        <v>633</v>
      </c>
      <c r="H119" s="67" t="s">
        <v>1233</v>
      </c>
      <c r="I119" s="64"/>
      <c r="J119" s="62" t="s">
        <v>1173</v>
      </c>
      <c r="K119" s="68">
        <v>41619</v>
      </c>
      <c r="L119" s="62">
        <v>1</v>
      </c>
      <c r="M119" s="62">
        <v>0</v>
      </c>
      <c r="N119" s="62" t="s">
        <v>420</v>
      </c>
      <c r="O119" s="64"/>
      <c r="P119" s="62"/>
      <c r="Q119" s="62" t="s">
        <v>363</v>
      </c>
      <c r="R119" s="62" t="s">
        <v>696</v>
      </c>
      <c r="S119" s="62" t="s">
        <v>112</v>
      </c>
      <c r="T119" s="62" t="s">
        <v>421</v>
      </c>
      <c r="U119" s="67" t="s">
        <v>422</v>
      </c>
      <c r="V119" s="67"/>
      <c r="W119" s="65"/>
      <c r="X119" s="89">
        <v>0</v>
      </c>
      <c r="Y119" s="66">
        <v>0</v>
      </c>
      <c r="Z119" s="89">
        <f t="shared" si="1"/>
        <v>0</v>
      </c>
      <c r="AA119" s="93">
        <v>0</v>
      </c>
      <c r="AB119" s="98">
        <v>0</v>
      </c>
      <c r="AC119" s="102">
        <v>0</v>
      </c>
    </row>
    <row r="120" spans="1:29" s="58" customFormat="1" ht="18" customHeight="1" x14ac:dyDescent="0.2">
      <c r="A120" s="67" t="s">
        <v>616</v>
      </c>
      <c r="B120" s="67" t="s">
        <v>1369</v>
      </c>
      <c r="C120" s="61" t="s">
        <v>1355</v>
      </c>
      <c r="D120" s="62" t="s">
        <v>609</v>
      </c>
      <c r="E120" s="61" t="s">
        <v>615</v>
      </c>
      <c r="F120" s="62" t="s">
        <v>1302</v>
      </c>
      <c r="G120" s="62" t="s">
        <v>328</v>
      </c>
      <c r="H120" s="67" t="s">
        <v>1234</v>
      </c>
      <c r="I120" s="62"/>
      <c r="J120" s="70"/>
      <c r="K120" s="70"/>
      <c r="L120" s="62"/>
      <c r="M120" s="62"/>
      <c r="N120" s="62"/>
      <c r="O120" s="64"/>
      <c r="P120" s="62"/>
      <c r="Q120" s="71" t="s">
        <v>836</v>
      </c>
      <c r="R120" s="71"/>
      <c r="S120" s="71"/>
      <c r="T120" s="71"/>
      <c r="U120" s="74"/>
      <c r="V120" s="74"/>
      <c r="W120" s="65"/>
      <c r="X120" s="89">
        <v>72</v>
      </c>
      <c r="Y120" s="66">
        <v>51</v>
      </c>
      <c r="Z120" s="89">
        <f t="shared" si="1"/>
        <v>21</v>
      </c>
      <c r="AA120" s="93">
        <v>0.70833333333333337</v>
      </c>
      <c r="AB120" s="98">
        <v>1787280</v>
      </c>
      <c r="AC120" s="102">
        <v>41.4</v>
      </c>
    </row>
    <row r="121" spans="1:29" s="58" customFormat="1" ht="18" customHeight="1" x14ac:dyDescent="0.2">
      <c r="A121" s="67" t="s">
        <v>669</v>
      </c>
      <c r="B121" s="67">
        <v>766518486</v>
      </c>
      <c r="C121" s="61" t="s">
        <v>670</v>
      </c>
      <c r="D121" s="62" t="s">
        <v>674</v>
      </c>
      <c r="E121" s="63" t="s">
        <v>675</v>
      </c>
      <c r="F121" s="62">
        <v>944671383</v>
      </c>
      <c r="G121" s="62" t="s">
        <v>328</v>
      </c>
      <c r="H121" s="77" t="s">
        <v>671</v>
      </c>
      <c r="I121" s="64"/>
      <c r="J121" s="62" t="s">
        <v>672</v>
      </c>
      <c r="K121" s="62" t="s">
        <v>1113</v>
      </c>
      <c r="L121" s="62">
        <v>3</v>
      </c>
      <c r="M121" s="62"/>
      <c r="N121" s="62" t="s">
        <v>351</v>
      </c>
      <c r="O121" s="64"/>
      <c r="P121" s="75">
        <v>7.0000000000000007E-2</v>
      </c>
      <c r="Q121" s="62" t="s">
        <v>836</v>
      </c>
      <c r="R121" s="62">
        <v>944671383</v>
      </c>
      <c r="S121" s="62" t="s">
        <v>344</v>
      </c>
      <c r="T121" s="62" t="s">
        <v>673</v>
      </c>
      <c r="U121" s="67" t="s">
        <v>674</v>
      </c>
      <c r="V121" s="67"/>
      <c r="W121" s="65"/>
      <c r="X121" s="89">
        <v>780</v>
      </c>
      <c r="Y121" s="66">
        <v>704</v>
      </c>
      <c r="Z121" s="89">
        <f t="shared" si="1"/>
        <v>76</v>
      </c>
      <c r="AA121" s="93">
        <v>0.928042328042328</v>
      </c>
      <c r="AB121" s="98">
        <v>17953960</v>
      </c>
      <c r="AC121" s="102">
        <v>816.49999999999989</v>
      </c>
    </row>
    <row r="122" spans="1:29" s="58" customFormat="1" ht="18" customHeight="1" x14ac:dyDescent="0.2">
      <c r="A122" s="85" t="s">
        <v>639</v>
      </c>
      <c r="B122" s="85">
        <v>114195928</v>
      </c>
      <c r="C122" s="72" t="s">
        <v>1356</v>
      </c>
      <c r="D122" s="62" t="s">
        <v>337</v>
      </c>
      <c r="E122" s="63" t="s">
        <v>254</v>
      </c>
      <c r="F122" s="62" t="s">
        <v>1303</v>
      </c>
      <c r="G122" s="62" t="s">
        <v>328</v>
      </c>
      <c r="H122" s="67" t="s">
        <v>255</v>
      </c>
      <c r="I122" s="64"/>
      <c r="J122" s="62" t="s">
        <v>332</v>
      </c>
      <c r="K122" s="62" t="s">
        <v>1036</v>
      </c>
      <c r="L122" s="62">
        <v>2</v>
      </c>
      <c r="M122" s="62">
        <v>0</v>
      </c>
      <c r="N122" s="62" t="s">
        <v>336</v>
      </c>
      <c r="O122" s="64"/>
      <c r="P122" s="62"/>
      <c r="Q122" s="71" t="s">
        <v>836</v>
      </c>
      <c r="R122" s="62"/>
      <c r="S122" s="62" t="s">
        <v>112</v>
      </c>
      <c r="T122" s="62"/>
      <c r="U122" s="67" t="s">
        <v>337</v>
      </c>
      <c r="V122" s="67" t="s">
        <v>335</v>
      </c>
      <c r="W122" s="65"/>
      <c r="X122" s="89">
        <v>0</v>
      </c>
      <c r="Y122" s="66">
        <v>0</v>
      </c>
      <c r="Z122" s="89">
        <f t="shared" si="1"/>
        <v>0</v>
      </c>
      <c r="AA122" s="93">
        <v>0</v>
      </c>
      <c r="AB122" s="98">
        <v>0</v>
      </c>
      <c r="AC122" s="102">
        <v>0</v>
      </c>
    </row>
    <row r="123" spans="1:29" s="58" customFormat="1" ht="18" customHeight="1" x14ac:dyDescent="0.2">
      <c r="A123" s="85" t="s">
        <v>638</v>
      </c>
      <c r="B123" s="85">
        <v>99978112</v>
      </c>
      <c r="C123" s="72" t="s">
        <v>1357</v>
      </c>
      <c r="D123" s="62" t="s">
        <v>610</v>
      </c>
      <c r="E123" s="63"/>
      <c r="F123" s="62"/>
      <c r="G123" s="62" t="s">
        <v>328</v>
      </c>
      <c r="H123" s="67"/>
      <c r="I123" s="64"/>
      <c r="J123" s="62"/>
      <c r="K123" s="62"/>
      <c r="L123" s="62"/>
      <c r="M123" s="62"/>
      <c r="N123" s="62"/>
      <c r="O123" s="64"/>
      <c r="P123" s="62"/>
      <c r="Q123" s="71" t="s">
        <v>836</v>
      </c>
      <c r="R123" s="62"/>
      <c r="S123" s="62"/>
      <c r="T123" s="62"/>
      <c r="U123" s="67"/>
      <c r="V123" s="67"/>
      <c r="W123" s="65"/>
      <c r="X123" s="89">
        <v>0</v>
      </c>
      <c r="Y123" s="66">
        <v>0</v>
      </c>
      <c r="Z123" s="89">
        <f t="shared" si="1"/>
        <v>0</v>
      </c>
      <c r="AA123" s="93">
        <v>0</v>
      </c>
      <c r="AB123" s="98">
        <v>0</v>
      </c>
      <c r="AC123" s="102">
        <v>0</v>
      </c>
    </row>
    <row r="124" spans="1:29" s="58" customFormat="1" ht="18" customHeight="1" x14ac:dyDescent="0.2">
      <c r="A124" s="85" t="s">
        <v>683</v>
      </c>
      <c r="B124" s="85">
        <v>771017215</v>
      </c>
      <c r="C124" s="72" t="s">
        <v>684</v>
      </c>
      <c r="D124" s="62" t="s">
        <v>325</v>
      </c>
      <c r="E124" s="63" t="s">
        <v>800</v>
      </c>
      <c r="F124" s="62"/>
      <c r="G124" s="62" t="s">
        <v>328</v>
      </c>
      <c r="H124" s="67" t="s">
        <v>801</v>
      </c>
      <c r="I124" s="64"/>
      <c r="J124" s="62"/>
      <c r="K124" s="62"/>
      <c r="L124" s="62">
        <v>3</v>
      </c>
      <c r="M124" s="62"/>
      <c r="N124" s="62" t="s">
        <v>351</v>
      </c>
      <c r="O124" s="64"/>
      <c r="P124" s="62"/>
      <c r="Q124" s="71" t="s">
        <v>815</v>
      </c>
      <c r="R124" s="62"/>
      <c r="S124" s="62"/>
      <c r="T124" s="62"/>
      <c r="U124" s="67"/>
      <c r="V124" s="67"/>
      <c r="W124" s="65"/>
      <c r="X124" s="89">
        <v>390</v>
      </c>
      <c r="Y124" s="66">
        <v>335</v>
      </c>
      <c r="Z124" s="89">
        <f t="shared" si="1"/>
        <v>55</v>
      </c>
      <c r="AA124" s="93">
        <v>0.74429223744292239</v>
      </c>
      <c r="AB124" s="98">
        <v>8643650</v>
      </c>
      <c r="AC124" s="102">
        <v>415.15</v>
      </c>
    </row>
    <row r="125" spans="1:29" s="58" customFormat="1" ht="18" customHeight="1" x14ac:dyDescent="0.2">
      <c r="A125" s="85" t="s">
        <v>1379</v>
      </c>
      <c r="B125" s="85" t="s">
        <v>1373</v>
      </c>
      <c r="C125" s="72" t="s">
        <v>699</v>
      </c>
      <c r="D125" s="62" t="s">
        <v>423</v>
      </c>
      <c r="E125" s="63" t="s">
        <v>700</v>
      </c>
      <c r="F125" s="62" t="s">
        <v>701</v>
      </c>
      <c r="G125" s="62" t="s">
        <v>633</v>
      </c>
      <c r="H125" s="67" t="s">
        <v>702</v>
      </c>
      <c r="I125" s="64"/>
      <c r="J125" s="62" t="s">
        <v>703</v>
      </c>
      <c r="K125" s="62"/>
      <c r="L125" s="62">
        <v>3</v>
      </c>
      <c r="M125" s="62"/>
      <c r="N125" s="62" t="s">
        <v>412</v>
      </c>
      <c r="O125" s="64"/>
      <c r="P125" s="62"/>
      <c r="Q125" s="71" t="s">
        <v>363</v>
      </c>
      <c r="R125" s="62"/>
      <c r="S125" s="62"/>
      <c r="T125" s="62"/>
      <c r="U125" s="67"/>
      <c r="V125" s="67"/>
      <c r="W125" s="65"/>
      <c r="X125" s="89">
        <v>0</v>
      </c>
      <c r="Y125" s="66">
        <v>0</v>
      </c>
      <c r="Z125" s="66">
        <v>0</v>
      </c>
      <c r="AA125" s="93">
        <v>0</v>
      </c>
      <c r="AB125" s="98">
        <v>0</v>
      </c>
      <c r="AC125" s="102">
        <v>0</v>
      </c>
    </row>
    <row r="126" spans="1:29" s="58" customFormat="1" ht="18" customHeight="1" x14ac:dyDescent="0.2">
      <c r="A126" s="85" t="s">
        <v>706</v>
      </c>
      <c r="B126" s="85" t="s">
        <v>1371</v>
      </c>
      <c r="C126" s="72" t="s">
        <v>705</v>
      </c>
      <c r="D126" s="62" t="s">
        <v>409</v>
      </c>
      <c r="E126" s="63" t="s">
        <v>707</v>
      </c>
      <c r="F126" s="62" t="s">
        <v>708</v>
      </c>
      <c r="G126" s="62" t="s">
        <v>633</v>
      </c>
      <c r="H126" s="67" t="s">
        <v>709</v>
      </c>
      <c r="I126" s="64"/>
      <c r="J126" s="62"/>
      <c r="K126" s="62" t="s">
        <v>705</v>
      </c>
      <c r="L126" s="62">
        <v>3</v>
      </c>
      <c r="M126" s="62"/>
      <c r="N126" s="62" t="s">
        <v>412</v>
      </c>
      <c r="O126" s="64"/>
      <c r="P126" s="62"/>
      <c r="Q126" s="71" t="s">
        <v>363</v>
      </c>
      <c r="R126" s="62"/>
      <c r="S126" s="62"/>
      <c r="T126" s="62"/>
      <c r="U126" s="67" t="s">
        <v>710</v>
      </c>
      <c r="V126" s="67"/>
      <c r="W126" s="65"/>
      <c r="X126" s="89">
        <v>36</v>
      </c>
      <c r="Y126" s="66">
        <v>28</v>
      </c>
      <c r="Z126" s="89">
        <f t="shared" si="1"/>
        <v>8</v>
      </c>
      <c r="AA126" s="93">
        <v>0.77777777777777779</v>
      </c>
      <c r="AB126" s="98">
        <v>884640</v>
      </c>
      <c r="AC126" s="102">
        <v>74.75</v>
      </c>
    </row>
    <row r="127" spans="1:29" s="58" customFormat="1" ht="18" customHeight="1" x14ac:dyDescent="0.2">
      <c r="A127" s="85" t="s">
        <v>712</v>
      </c>
      <c r="B127" s="85" t="s">
        <v>1374</v>
      </c>
      <c r="C127" s="72" t="s">
        <v>711</v>
      </c>
      <c r="D127" s="62" t="s">
        <v>714</v>
      </c>
      <c r="E127" s="63" t="s">
        <v>713</v>
      </c>
      <c r="F127" s="62">
        <v>672411298</v>
      </c>
      <c r="G127" s="62" t="s">
        <v>633</v>
      </c>
      <c r="H127" s="67" t="s">
        <v>715</v>
      </c>
      <c r="I127" s="64"/>
      <c r="J127" s="62" t="s">
        <v>716</v>
      </c>
      <c r="K127" s="62"/>
      <c r="L127" s="62">
        <v>1</v>
      </c>
      <c r="M127" s="62"/>
      <c r="N127" s="62" t="s">
        <v>412</v>
      </c>
      <c r="O127" s="64"/>
      <c r="P127" s="62"/>
      <c r="Q127" s="71" t="s">
        <v>363</v>
      </c>
      <c r="R127" s="62">
        <v>977669861</v>
      </c>
      <c r="S127" s="62"/>
      <c r="T127" s="62" t="s">
        <v>717</v>
      </c>
      <c r="U127" s="67" t="s">
        <v>714</v>
      </c>
      <c r="V127" s="67"/>
      <c r="W127" s="65"/>
      <c r="X127" s="89">
        <v>0</v>
      </c>
      <c r="Y127" s="66">
        <v>0</v>
      </c>
      <c r="Z127" s="66">
        <v>0</v>
      </c>
      <c r="AA127" s="93">
        <v>0</v>
      </c>
      <c r="AB127" s="98">
        <v>0</v>
      </c>
      <c r="AC127" s="102">
        <v>0</v>
      </c>
    </row>
    <row r="128" spans="1:29" s="58" customFormat="1" ht="18" customHeight="1" x14ac:dyDescent="0.2">
      <c r="A128" s="85" t="s">
        <v>719</v>
      </c>
      <c r="B128" s="85" t="s">
        <v>1375</v>
      </c>
      <c r="C128" s="72" t="s">
        <v>718</v>
      </c>
      <c r="D128" s="62" t="s">
        <v>721</v>
      </c>
      <c r="E128" s="63" t="s">
        <v>722</v>
      </c>
      <c r="F128" s="62">
        <v>652671443</v>
      </c>
      <c r="G128" s="62" t="s">
        <v>633</v>
      </c>
      <c r="H128" s="67" t="s">
        <v>720</v>
      </c>
      <c r="I128" s="64"/>
      <c r="J128" s="62"/>
      <c r="K128" s="62"/>
      <c r="L128" s="62">
        <v>3</v>
      </c>
      <c r="M128" s="62"/>
      <c r="N128" s="62" t="s">
        <v>118</v>
      </c>
      <c r="O128" s="64"/>
      <c r="P128" s="62"/>
      <c r="Q128" s="71" t="s">
        <v>363</v>
      </c>
      <c r="R128" s="62"/>
      <c r="S128" s="62"/>
      <c r="T128" s="62"/>
      <c r="U128" s="67"/>
      <c r="V128" s="67" t="s">
        <v>723</v>
      </c>
      <c r="W128" s="65"/>
      <c r="X128" s="89">
        <v>0</v>
      </c>
      <c r="Y128" s="66">
        <v>0</v>
      </c>
      <c r="Z128" s="66">
        <v>0</v>
      </c>
      <c r="AA128" s="93">
        <v>0</v>
      </c>
      <c r="AB128" s="98">
        <v>0</v>
      </c>
      <c r="AC128" s="102">
        <v>0</v>
      </c>
    </row>
    <row r="129" spans="1:29" s="58" customFormat="1" ht="18" customHeight="1" x14ac:dyDescent="0.2">
      <c r="A129" s="85" t="s">
        <v>730</v>
      </c>
      <c r="B129" s="85">
        <v>162603744</v>
      </c>
      <c r="C129" s="72" t="s">
        <v>728</v>
      </c>
      <c r="D129" s="62" t="s">
        <v>729</v>
      </c>
      <c r="E129" s="63" t="s">
        <v>731</v>
      </c>
      <c r="F129" s="62">
        <v>953278601</v>
      </c>
      <c r="G129" s="62" t="s">
        <v>286</v>
      </c>
      <c r="H129" s="67" t="s">
        <v>1235</v>
      </c>
      <c r="I129" s="64"/>
      <c r="J129" s="62"/>
      <c r="K129" s="62"/>
      <c r="L129" s="62"/>
      <c r="M129" s="62"/>
      <c r="N129" s="62" t="s">
        <v>732</v>
      </c>
      <c r="O129" s="64"/>
      <c r="P129" s="62"/>
      <c r="Q129" s="71" t="s">
        <v>363</v>
      </c>
      <c r="R129" s="62"/>
      <c r="S129" s="62"/>
      <c r="T129" s="62"/>
      <c r="U129" s="67"/>
      <c r="V129" s="67"/>
      <c r="W129" s="65"/>
      <c r="X129" s="89">
        <v>446</v>
      </c>
      <c r="Y129" s="66">
        <v>396</v>
      </c>
      <c r="Z129" s="89">
        <f t="shared" ref="Z129:Z134" si="2">SUM(X129-Y129)</f>
        <v>50</v>
      </c>
      <c r="AA129" s="93">
        <v>0.73255813953488369</v>
      </c>
      <c r="AB129" s="98">
        <v>10290040</v>
      </c>
      <c r="AC129" s="102">
        <v>468.04999999999995</v>
      </c>
    </row>
    <row r="130" spans="1:29" s="58" customFormat="1" ht="18" customHeight="1" x14ac:dyDescent="0.2">
      <c r="A130" s="85" t="s">
        <v>913</v>
      </c>
      <c r="B130" s="85">
        <v>173312032</v>
      </c>
      <c r="C130" s="72" t="s">
        <v>823</v>
      </c>
      <c r="D130" s="62" t="s">
        <v>533</v>
      </c>
      <c r="E130" s="63" t="s">
        <v>734</v>
      </c>
      <c r="F130" s="62">
        <v>512751119</v>
      </c>
      <c r="G130" s="62" t="s">
        <v>286</v>
      </c>
      <c r="H130" s="67" t="s">
        <v>735</v>
      </c>
      <c r="I130" s="64"/>
      <c r="J130" s="62"/>
      <c r="K130" s="62"/>
      <c r="L130" s="62"/>
      <c r="M130" s="62"/>
      <c r="N130" s="62" t="s">
        <v>546</v>
      </c>
      <c r="O130" s="64"/>
      <c r="P130" s="62"/>
      <c r="Q130" s="71" t="s">
        <v>363</v>
      </c>
      <c r="R130" s="62"/>
      <c r="S130" s="62"/>
      <c r="T130" s="62"/>
      <c r="U130" s="67"/>
      <c r="V130" s="67"/>
      <c r="W130" s="65"/>
      <c r="X130" s="89">
        <v>282</v>
      </c>
      <c r="Y130" s="66">
        <v>134</v>
      </c>
      <c r="Z130" s="89">
        <f t="shared" si="2"/>
        <v>148</v>
      </c>
      <c r="AA130" s="93">
        <v>0.47517730496453903</v>
      </c>
      <c r="AB130" s="98">
        <v>6962180</v>
      </c>
      <c r="AC130" s="102">
        <v>162.14999999999998</v>
      </c>
    </row>
    <row r="131" spans="1:29" s="58" customFormat="1" ht="18" customHeight="1" x14ac:dyDescent="0.2">
      <c r="A131" s="85" t="s">
        <v>739</v>
      </c>
      <c r="B131" s="85" t="s">
        <v>1370</v>
      </c>
      <c r="C131" s="72" t="s">
        <v>736</v>
      </c>
      <c r="D131" s="62" t="s">
        <v>738</v>
      </c>
      <c r="E131" s="63" t="s">
        <v>737</v>
      </c>
      <c r="F131" s="62">
        <v>958508878</v>
      </c>
      <c r="G131" s="62" t="s">
        <v>286</v>
      </c>
      <c r="H131" s="67" t="s">
        <v>740</v>
      </c>
      <c r="I131" s="64"/>
      <c r="J131" s="62" t="s">
        <v>895</v>
      </c>
      <c r="K131" s="62"/>
      <c r="L131" s="62">
        <v>1</v>
      </c>
      <c r="M131" s="62"/>
      <c r="N131" s="62" t="s">
        <v>741</v>
      </c>
      <c r="O131" s="64"/>
      <c r="P131" s="62"/>
      <c r="Q131" s="71" t="s">
        <v>363</v>
      </c>
      <c r="R131" s="62"/>
      <c r="S131" s="62" t="s">
        <v>896</v>
      </c>
      <c r="T131" s="62" t="s">
        <v>897</v>
      </c>
      <c r="U131" s="67"/>
      <c r="V131" s="67"/>
      <c r="W131" s="65"/>
      <c r="X131" s="89">
        <v>79</v>
      </c>
      <c r="Y131" s="66">
        <v>72</v>
      </c>
      <c r="Z131" s="89">
        <f t="shared" si="2"/>
        <v>7</v>
      </c>
      <c r="AA131" s="93">
        <v>0.6</v>
      </c>
      <c r="AB131" s="98">
        <v>1828280</v>
      </c>
      <c r="AC131" s="102">
        <v>125.35</v>
      </c>
    </row>
    <row r="132" spans="1:29" s="58" customFormat="1" ht="18" customHeight="1" x14ac:dyDescent="0.2">
      <c r="A132" s="85" t="s">
        <v>743</v>
      </c>
      <c r="B132" s="85">
        <v>162593110</v>
      </c>
      <c r="C132" s="72" t="s">
        <v>742</v>
      </c>
      <c r="D132" s="62" t="s">
        <v>729</v>
      </c>
      <c r="E132" s="63" t="s">
        <v>744</v>
      </c>
      <c r="F132" s="62">
        <v>942213276</v>
      </c>
      <c r="G132" s="62" t="s">
        <v>286</v>
      </c>
      <c r="H132" s="67" t="s">
        <v>745</v>
      </c>
      <c r="I132" s="64"/>
      <c r="J132" s="62"/>
      <c r="K132" s="62"/>
      <c r="L132" s="62"/>
      <c r="M132" s="62"/>
      <c r="N132" s="62" t="s">
        <v>732</v>
      </c>
      <c r="O132" s="64"/>
      <c r="P132" s="62"/>
      <c r="Q132" s="71" t="s">
        <v>363</v>
      </c>
      <c r="R132" s="62"/>
      <c r="S132" s="62"/>
      <c r="T132" s="62"/>
      <c r="U132" s="67"/>
      <c r="V132" s="67"/>
      <c r="W132" s="65"/>
      <c r="X132" s="89">
        <v>214</v>
      </c>
      <c r="Y132" s="66">
        <v>125</v>
      </c>
      <c r="Z132" s="89">
        <f t="shared" si="2"/>
        <v>89</v>
      </c>
      <c r="AA132" s="93">
        <v>0.20666666666666667</v>
      </c>
      <c r="AB132" s="98">
        <v>3258750</v>
      </c>
      <c r="AC132" s="102">
        <v>345</v>
      </c>
    </row>
    <row r="133" spans="1:29" s="58" customFormat="1" ht="18" customHeight="1" x14ac:dyDescent="0.2">
      <c r="A133" s="85" t="s">
        <v>747</v>
      </c>
      <c r="B133" s="85">
        <v>60921830</v>
      </c>
      <c r="C133" s="72" t="s">
        <v>746</v>
      </c>
      <c r="D133" s="62" t="s">
        <v>748</v>
      </c>
      <c r="E133" s="63" t="s">
        <v>749</v>
      </c>
      <c r="F133" s="62" t="s">
        <v>1304</v>
      </c>
      <c r="G133" s="62" t="s">
        <v>286</v>
      </c>
      <c r="H133" s="67" t="s">
        <v>1236</v>
      </c>
      <c r="I133" s="64"/>
      <c r="J133" s="62" t="s">
        <v>750</v>
      </c>
      <c r="K133" s="62" t="s">
        <v>920</v>
      </c>
      <c r="L133" s="62"/>
      <c r="M133" s="62"/>
      <c r="N133" s="62" t="s">
        <v>854</v>
      </c>
      <c r="O133" s="64"/>
      <c r="P133" s="62"/>
      <c r="Q133" s="71" t="s">
        <v>363</v>
      </c>
      <c r="R133" s="62"/>
      <c r="S133" s="62"/>
      <c r="T133" s="62" t="s">
        <v>931</v>
      </c>
      <c r="U133" s="67"/>
      <c r="V133" s="67"/>
      <c r="W133" s="65"/>
      <c r="X133" s="89">
        <v>67</v>
      </c>
      <c r="Y133" s="66">
        <v>60</v>
      </c>
      <c r="Z133" s="89">
        <f t="shared" si="2"/>
        <v>7</v>
      </c>
      <c r="AA133" s="93">
        <v>0.46296296296296297</v>
      </c>
      <c r="AB133" s="98">
        <v>1562400</v>
      </c>
      <c r="AC133" s="102">
        <v>35.65</v>
      </c>
    </row>
    <row r="134" spans="1:29" s="58" customFormat="1" ht="18" customHeight="1" x14ac:dyDescent="0.2">
      <c r="A134" s="85" t="s">
        <v>1031</v>
      </c>
      <c r="B134" s="85">
        <v>767756089</v>
      </c>
      <c r="C134" s="72" t="s">
        <v>751</v>
      </c>
      <c r="D134" s="62" t="s">
        <v>738</v>
      </c>
      <c r="E134" s="63" t="s">
        <v>752</v>
      </c>
      <c r="F134" s="62" t="s">
        <v>928</v>
      </c>
      <c r="G134" s="62" t="s">
        <v>286</v>
      </c>
      <c r="H134" s="67" t="s">
        <v>753</v>
      </c>
      <c r="I134" s="64"/>
      <c r="J134" s="62"/>
      <c r="K134" s="62"/>
      <c r="L134" s="62"/>
      <c r="M134" s="62"/>
      <c r="N134" s="62" t="s">
        <v>741</v>
      </c>
      <c r="O134" s="64"/>
      <c r="P134" s="62"/>
      <c r="Q134" s="71" t="s">
        <v>363</v>
      </c>
      <c r="R134" s="62"/>
      <c r="S134" s="62"/>
      <c r="T134" s="62"/>
      <c r="U134" s="67"/>
      <c r="V134" s="67"/>
      <c r="W134" s="65"/>
      <c r="X134" s="89">
        <v>293</v>
      </c>
      <c r="Y134" s="66">
        <v>262</v>
      </c>
      <c r="Z134" s="89">
        <f t="shared" si="2"/>
        <v>31</v>
      </c>
      <c r="AA134" s="93">
        <v>0.76136363636363635</v>
      </c>
      <c r="AB134" s="98">
        <v>6752380</v>
      </c>
      <c r="AC134" s="102">
        <v>101.19999999999999</v>
      </c>
    </row>
    <row r="135" spans="1:29" s="58" customFormat="1" ht="18" customHeight="1" x14ac:dyDescent="0.2">
      <c r="A135" s="85" t="s">
        <v>754</v>
      </c>
      <c r="B135" s="85">
        <v>765602424</v>
      </c>
      <c r="C135" s="72" t="s">
        <v>1358</v>
      </c>
      <c r="D135" s="62" t="s">
        <v>586</v>
      </c>
      <c r="E135" s="63" t="s">
        <v>755</v>
      </c>
      <c r="F135" s="62">
        <v>981379473</v>
      </c>
      <c r="G135" s="62" t="s">
        <v>286</v>
      </c>
      <c r="H135" s="67" t="s">
        <v>756</v>
      </c>
      <c r="I135" s="64"/>
      <c r="J135" s="62" t="s">
        <v>929</v>
      </c>
      <c r="K135" s="62" t="s">
        <v>366</v>
      </c>
      <c r="L135" s="62"/>
      <c r="M135" s="62"/>
      <c r="N135" s="62" t="s">
        <v>741</v>
      </c>
      <c r="O135" s="64"/>
      <c r="P135" s="62"/>
      <c r="Q135" s="71" t="s">
        <v>363</v>
      </c>
      <c r="R135" s="62"/>
      <c r="S135" s="62"/>
      <c r="T135" s="62" t="s">
        <v>930</v>
      </c>
      <c r="U135" s="67"/>
      <c r="V135" s="67"/>
      <c r="W135" s="65"/>
      <c r="X135" s="89">
        <v>0</v>
      </c>
      <c r="Y135" s="66">
        <v>0</v>
      </c>
      <c r="Z135" s="66">
        <v>0</v>
      </c>
      <c r="AA135" s="93">
        <v>0</v>
      </c>
      <c r="AB135" s="98">
        <v>0</v>
      </c>
      <c r="AC135" s="102">
        <v>0</v>
      </c>
    </row>
    <row r="136" spans="1:29" s="58" customFormat="1" ht="18" customHeight="1" x14ac:dyDescent="0.2">
      <c r="A136" s="85" t="s">
        <v>760</v>
      </c>
      <c r="B136" s="85">
        <v>32977855</v>
      </c>
      <c r="C136" s="72" t="s">
        <v>759</v>
      </c>
      <c r="D136" s="62" t="s">
        <v>533</v>
      </c>
      <c r="E136" s="63" t="s">
        <v>761</v>
      </c>
      <c r="F136" s="62" t="s">
        <v>762</v>
      </c>
      <c r="G136" s="62" t="s">
        <v>286</v>
      </c>
      <c r="H136" s="67" t="s">
        <v>1237</v>
      </c>
      <c r="I136" s="64"/>
      <c r="J136" s="62" t="s">
        <v>926</v>
      </c>
      <c r="K136" s="62"/>
      <c r="L136" s="62"/>
      <c r="M136" s="62"/>
      <c r="N136" s="62" t="s">
        <v>763</v>
      </c>
      <c r="O136" s="64"/>
      <c r="P136" s="62"/>
      <c r="Q136" s="71" t="s">
        <v>836</v>
      </c>
      <c r="R136" s="62"/>
      <c r="S136" s="62"/>
      <c r="T136" s="62"/>
      <c r="U136" s="67" t="s">
        <v>533</v>
      </c>
      <c r="V136" s="67" t="s">
        <v>927</v>
      </c>
      <c r="W136" s="65"/>
      <c r="X136" s="89">
        <v>0</v>
      </c>
      <c r="Y136" s="66">
        <v>0</v>
      </c>
      <c r="Z136" s="66">
        <v>0</v>
      </c>
      <c r="AA136" s="93">
        <v>0</v>
      </c>
      <c r="AB136" s="98">
        <v>0</v>
      </c>
      <c r="AC136" s="102">
        <v>0</v>
      </c>
    </row>
    <row r="137" spans="1:29" s="58" customFormat="1" ht="18" customHeight="1" x14ac:dyDescent="0.2">
      <c r="A137" s="85" t="s">
        <v>765</v>
      </c>
      <c r="B137" s="85">
        <v>165495861</v>
      </c>
      <c r="C137" s="72" t="s">
        <v>764</v>
      </c>
      <c r="D137" s="62" t="s">
        <v>586</v>
      </c>
      <c r="E137" s="63" t="s">
        <v>766</v>
      </c>
      <c r="F137" s="62">
        <v>953509920</v>
      </c>
      <c r="G137" s="62" t="s">
        <v>286</v>
      </c>
      <c r="H137" s="67" t="s">
        <v>767</v>
      </c>
      <c r="I137" s="64"/>
      <c r="J137" s="62"/>
      <c r="K137" s="62"/>
      <c r="L137" s="62"/>
      <c r="M137" s="62"/>
      <c r="N137" s="62" t="s">
        <v>741</v>
      </c>
      <c r="O137" s="64"/>
      <c r="P137" s="62"/>
      <c r="Q137" s="71" t="s">
        <v>844</v>
      </c>
      <c r="R137" s="62"/>
      <c r="S137" s="62"/>
      <c r="T137" s="62"/>
      <c r="U137" s="67" t="s">
        <v>586</v>
      </c>
      <c r="V137" s="67"/>
      <c r="W137" s="65"/>
      <c r="X137" s="89">
        <v>0</v>
      </c>
      <c r="Y137" s="66">
        <v>0</v>
      </c>
      <c r="Z137" s="66">
        <v>0</v>
      </c>
      <c r="AA137" s="93">
        <v>0</v>
      </c>
      <c r="AB137" s="98">
        <v>0</v>
      </c>
      <c r="AC137" s="102">
        <v>0</v>
      </c>
    </row>
    <row r="138" spans="1:29" s="58" customFormat="1" ht="18" customHeight="1" x14ac:dyDescent="0.2">
      <c r="A138" s="85" t="s">
        <v>769</v>
      </c>
      <c r="B138" s="85">
        <v>137440369</v>
      </c>
      <c r="C138" s="72" t="s">
        <v>768</v>
      </c>
      <c r="D138" s="62" t="s">
        <v>533</v>
      </c>
      <c r="E138" s="63" t="s">
        <v>770</v>
      </c>
      <c r="F138" s="62">
        <v>957891348</v>
      </c>
      <c r="G138" s="62" t="s">
        <v>286</v>
      </c>
      <c r="H138" s="67" t="s">
        <v>771</v>
      </c>
      <c r="I138" s="64"/>
      <c r="J138" s="62"/>
      <c r="K138" s="62"/>
      <c r="L138" s="62"/>
      <c r="M138" s="62"/>
      <c r="N138" s="62" t="s">
        <v>763</v>
      </c>
      <c r="O138" s="64"/>
      <c r="P138" s="62"/>
      <c r="Q138" s="71" t="s">
        <v>836</v>
      </c>
      <c r="R138" s="62"/>
      <c r="S138" s="62"/>
      <c r="T138" s="62"/>
      <c r="U138" s="67" t="s">
        <v>533</v>
      </c>
      <c r="V138" s="67"/>
      <c r="W138" s="65"/>
      <c r="X138" s="89">
        <v>192</v>
      </c>
      <c r="Y138" s="66">
        <v>163</v>
      </c>
      <c r="Z138" s="89">
        <f>SUM(X138-Y138)</f>
        <v>29</v>
      </c>
      <c r="AA138" s="93">
        <v>0.55277777777777781</v>
      </c>
      <c r="AB138" s="98">
        <v>4191370</v>
      </c>
      <c r="AC138" s="102">
        <v>276</v>
      </c>
    </row>
    <row r="139" spans="1:29" s="58" customFormat="1" ht="18" customHeight="1" x14ac:dyDescent="0.2">
      <c r="A139" s="85" t="s">
        <v>777</v>
      </c>
      <c r="B139" s="85">
        <v>176252960</v>
      </c>
      <c r="C139" s="72" t="s">
        <v>773</v>
      </c>
      <c r="D139" s="62" t="s">
        <v>738</v>
      </c>
      <c r="E139" s="63" t="s">
        <v>776</v>
      </c>
      <c r="F139" s="62">
        <v>975857893</v>
      </c>
      <c r="G139" s="62" t="s">
        <v>286</v>
      </c>
      <c r="H139" s="67" t="s">
        <v>772</v>
      </c>
      <c r="I139" s="64"/>
      <c r="J139" s="62" t="s">
        <v>924</v>
      </c>
      <c r="K139" s="62"/>
      <c r="L139" s="62"/>
      <c r="M139" s="62"/>
      <c r="N139" s="62" t="s">
        <v>741</v>
      </c>
      <c r="O139" s="64"/>
      <c r="P139" s="62"/>
      <c r="Q139" s="71" t="s">
        <v>690</v>
      </c>
      <c r="R139" s="62"/>
      <c r="S139" s="62"/>
      <c r="T139" s="62"/>
      <c r="U139" s="67" t="s">
        <v>738</v>
      </c>
      <c r="V139" s="67"/>
      <c r="W139" s="65"/>
      <c r="X139" s="89">
        <v>0</v>
      </c>
      <c r="Y139" s="66">
        <v>0</v>
      </c>
      <c r="Z139" s="66">
        <v>0</v>
      </c>
      <c r="AA139" s="93">
        <v>0</v>
      </c>
      <c r="AB139" s="98">
        <v>0</v>
      </c>
      <c r="AC139" s="102">
        <v>0</v>
      </c>
    </row>
    <row r="140" spans="1:29" s="58" customFormat="1" ht="18" customHeight="1" x14ac:dyDescent="0.2">
      <c r="A140" s="85" t="s">
        <v>922</v>
      </c>
      <c r="B140" s="85">
        <v>186889428</v>
      </c>
      <c r="C140" s="72" t="s">
        <v>774</v>
      </c>
      <c r="D140" s="62" t="s">
        <v>586</v>
      </c>
      <c r="E140" s="63" t="s">
        <v>778</v>
      </c>
      <c r="F140" s="62">
        <v>941121845</v>
      </c>
      <c r="G140" s="62" t="s">
        <v>286</v>
      </c>
      <c r="H140" s="67" t="s">
        <v>775</v>
      </c>
      <c r="I140" s="64"/>
      <c r="J140" s="62" t="s">
        <v>923</v>
      </c>
      <c r="K140" s="62" t="s">
        <v>366</v>
      </c>
      <c r="L140" s="62"/>
      <c r="M140" s="62"/>
      <c r="N140" s="62" t="s">
        <v>741</v>
      </c>
      <c r="O140" s="64"/>
      <c r="P140" s="62"/>
      <c r="Q140" s="71" t="s">
        <v>690</v>
      </c>
      <c r="R140" s="62"/>
      <c r="S140" s="62"/>
      <c r="T140" s="62"/>
      <c r="U140" s="67" t="s">
        <v>586</v>
      </c>
      <c r="V140" s="67"/>
      <c r="W140" s="65"/>
      <c r="X140" s="89">
        <v>0</v>
      </c>
      <c r="Y140" s="66">
        <v>0</v>
      </c>
      <c r="Z140" s="66">
        <v>0</v>
      </c>
      <c r="AA140" s="93">
        <v>0</v>
      </c>
      <c r="AB140" s="98">
        <v>0</v>
      </c>
      <c r="AC140" s="102">
        <v>0</v>
      </c>
    </row>
    <row r="141" spans="1:29" s="58" customFormat="1" ht="18" customHeight="1" x14ac:dyDescent="0.2">
      <c r="A141" s="85" t="s">
        <v>782</v>
      </c>
      <c r="B141" s="85" t="s">
        <v>1372</v>
      </c>
      <c r="C141" s="72" t="s">
        <v>779</v>
      </c>
      <c r="D141" s="62" t="s">
        <v>1338</v>
      </c>
      <c r="E141" s="63" t="s">
        <v>781</v>
      </c>
      <c r="F141" s="62">
        <v>56944438018</v>
      </c>
      <c r="G141" s="62" t="s">
        <v>328</v>
      </c>
      <c r="H141" s="67" t="s">
        <v>780</v>
      </c>
      <c r="I141" s="64"/>
      <c r="J141" s="62" t="s">
        <v>925</v>
      </c>
      <c r="K141" s="62"/>
      <c r="L141" s="62">
        <v>1</v>
      </c>
      <c r="M141" s="62"/>
      <c r="N141" s="62" t="s">
        <v>546</v>
      </c>
      <c r="O141" s="64"/>
      <c r="P141" s="62"/>
      <c r="Q141" s="71" t="s">
        <v>690</v>
      </c>
      <c r="R141" s="62"/>
      <c r="S141" s="62" t="s">
        <v>898</v>
      </c>
      <c r="T141" s="62" t="s">
        <v>899</v>
      </c>
      <c r="U141" s="67" t="s">
        <v>533</v>
      </c>
      <c r="V141" s="67"/>
      <c r="W141" s="65"/>
      <c r="X141" s="89">
        <v>0</v>
      </c>
      <c r="Y141" s="66">
        <v>0</v>
      </c>
      <c r="Z141" s="66">
        <v>0</v>
      </c>
      <c r="AA141" s="93">
        <v>0</v>
      </c>
      <c r="AB141" s="98">
        <v>0</v>
      </c>
      <c r="AC141" s="102">
        <v>17.25</v>
      </c>
    </row>
    <row r="142" spans="1:29" s="58" customFormat="1" ht="18" customHeight="1" x14ac:dyDescent="0.2">
      <c r="A142" s="85" t="s">
        <v>783</v>
      </c>
      <c r="B142" s="85">
        <v>772090390</v>
      </c>
      <c r="C142" s="72" t="s">
        <v>786</v>
      </c>
      <c r="D142" s="62" t="s">
        <v>466</v>
      </c>
      <c r="E142" s="63" t="s">
        <v>784</v>
      </c>
      <c r="F142" s="62">
        <v>946397780</v>
      </c>
      <c r="G142" s="62" t="s">
        <v>328</v>
      </c>
      <c r="H142" s="67" t="s">
        <v>785</v>
      </c>
      <c r="I142" s="64" t="s">
        <v>921</v>
      </c>
      <c r="J142" s="62" t="s">
        <v>919</v>
      </c>
      <c r="K142" s="62" t="s">
        <v>920</v>
      </c>
      <c r="L142" s="62">
        <v>1</v>
      </c>
      <c r="M142" s="62"/>
      <c r="N142" s="62" t="s">
        <v>351</v>
      </c>
      <c r="O142" s="64"/>
      <c r="P142" s="62"/>
      <c r="Q142" s="71" t="s">
        <v>1766</v>
      </c>
      <c r="R142" s="62"/>
      <c r="S142" s="62"/>
      <c r="T142" s="62" t="s">
        <v>845</v>
      </c>
      <c r="U142" s="67"/>
      <c r="V142" s="67" t="s">
        <v>918</v>
      </c>
      <c r="W142" s="65"/>
      <c r="X142" s="89">
        <v>445</v>
      </c>
      <c r="Y142" s="66">
        <v>241</v>
      </c>
      <c r="Z142" s="89">
        <f>SUM(X142-Y142)</f>
        <v>204</v>
      </c>
      <c r="AA142" s="93">
        <v>0</v>
      </c>
      <c r="AB142" s="98">
        <v>6172590</v>
      </c>
      <c r="AC142" s="102">
        <v>136.85</v>
      </c>
    </row>
    <row r="143" spans="1:29" s="58" customFormat="1" ht="18" customHeight="1" x14ac:dyDescent="0.2">
      <c r="A143" s="85" t="s">
        <v>788</v>
      </c>
      <c r="B143" s="85">
        <v>771418651</v>
      </c>
      <c r="C143" s="72" t="s">
        <v>787</v>
      </c>
      <c r="D143" s="62" t="s">
        <v>346</v>
      </c>
      <c r="E143" s="63" t="s">
        <v>789</v>
      </c>
      <c r="F143" s="62">
        <v>972771615</v>
      </c>
      <c r="G143" s="62" t="s">
        <v>328</v>
      </c>
      <c r="H143" s="67" t="s">
        <v>790</v>
      </c>
      <c r="I143" s="64"/>
      <c r="J143" s="62" t="s">
        <v>917</v>
      </c>
      <c r="K143" s="62"/>
      <c r="L143" s="62">
        <v>1</v>
      </c>
      <c r="M143" s="62"/>
      <c r="N143" s="62" t="s">
        <v>791</v>
      </c>
      <c r="O143" s="64"/>
      <c r="P143" s="62"/>
      <c r="Q143" s="71" t="s">
        <v>690</v>
      </c>
      <c r="R143" s="62"/>
      <c r="S143" s="62"/>
      <c r="T143" s="62" t="s">
        <v>846</v>
      </c>
      <c r="U143" s="67"/>
      <c r="V143" s="67"/>
      <c r="W143" s="65"/>
      <c r="X143" s="89">
        <v>259</v>
      </c>
      <c r="Y143" s="66">
        <v>137</v>
      </c>
      <c r="Z143" s="89">
        <f>SUM(X143-Y143)</f>
        <v>122</v>
      </c>
      <c r="AA143" s="93">
        <v>0.33333333333333331</v>
      </c>
      <c r="AB143" s="98">
        <v>3517630</v>
      </c>
      <c r="AC143" s="102">
        <v>284.04999999999995</v>
      </c>
    </row>
    <row r="144" spans="1:29" s="58" customFormat="1" ht="18" customHeight="1" x14ac:dyDescent="0.2">
      <c r="A144" s="85" t="s">
        <v>807</v>
      </c>
      <c r="B144" s="85">
        <v>772477147</v>
      </c>
      <c r="C144" s="72" t="s">
        <v>806</v>
      </c>
      <c r="D144" s="62" t="s">
        <v>470</v>
      </c>
      <c r="E144" s="63" t="s">
        <v>808</v>
      </c>
      <c r="F144" s="62">
        <v>941616891</v>
      </c>
      <c r="G144" s="62" t="s">
        <v>328</v>
      </c>
      <c r="H144" s="67" t="s">
        <v>809</v>
      </c>
      <c r="I144" s="64" t="s">
        <v>916</v>
      </c>
      <c r="J144" s="62" t="s">
        <v>915</v>
      </c>
      <c r="K144" s="62" t="s">
        <v>366</v>
      </c>
      <c r="L144" s="62">
        <v>1</v>
      </c>
      <c r="M144" s="62"/>
      <c r="N144" s="62" t="s">
        <v>351</v>
      </c>
      <c r="O144" s="64"/>
      <c r="P144" s="62">
        <v>0.05</v>
      </c>
      <c r="Q144" s="71" t="s">
        <v>690</v>
      </c>
      <c r="R144" s="62"/>
      <c r="S144" s="62"/>
      <c r="T144" s="62" t="s">
        <v>673</v>
      </c>
      <c r="U144" s="67"/>
      <c r="V144" s="67"/>
      <c r="W144" s="65"/>
      <c r="X144" s="89">
        <v>0</v>
      </c>
      <c r="Y144" s="66">
        <v>0</v>
      </c>
      <c r="Z144" s="66">
        <v>0</v>
      </c>
      <c r="AA144" s="93">
        <v>0</v>
      </c>
      <c r="AB144" s="98">
        <v>0</v>
      </c>
      <c r="AC144" s="102">
        <v>0</v>
      </c>
    </row>
    <row r="145" spans="1:29" s="58" customFormat="1" ht="18" customHeight="1" x14ac:dyDescent="0.2">
      <c r="A145" s="85" t="s">
        <v>811</v>
      </c>
      <c r="B145" s="85">
        <v>764058496</v>
      </c>
      <c r="C145" s="72" t="s">
        <v>810</v>
      </c>
      <c r="D145" s="62" t="s">
        <v>481</v>
      </c>
      <c r="E145" s="63" t="s">
        <v>812</v>
      </c>
      <c r="F145" s="62">
        <v>991615738</v>
      </c>
      <c r="G145" s="62" t="s">
        <v>328</v>
      </c>
      <c r="H145" s="67" t="s">
        <v>814</v>
      </c>
      <c r="I145" s="64"/>
      <c r="J145" s="62"/>
      <c r="K145" s="62"/>
      <c r="L145" s="62">
        <v>3</v>
      </c>
      <c r="M145" s="62"/>
      <c r="N145" s="62" t="s">
        <v>121</v>
      </c>
      <c r="O145" s="64"/>
      <c r="P145" s="62"/>
      <c r="Q145" s="71" t="s">
        <v>815</v>
      </c>
      <c r="R145" s="62"/>
      <c r="S145" s="62"/>
      <c r="T145" s="62" t="s">
        <v>813</v>
      </c>
      <c r="U145" s="67"/>
      <c r="V145" s="67"/>
      <c r="W145" s="65"/>
      <c r="X145" s="89">
        <v>127</v>
      </c>
      <c r="Y145" s="66">
        <v>127</v>
      </c>
      <c r="Z145" s="89">
        <f>SUM(X145-Y145)</f>
        <v>0</v>
      </c>
      <c r="AA145" s="93">
        <v>0.75</v>
      </c>
      <c r="AB145" s="98">
        <v>3291730</v>
      </c>
      <c r="AC145" s="102">
        <v>109.24999999999999</v>
      </c>
    </row>
    <row r="146" spans="1:29" s="58" customFormat="1" ht="18" customHeight="1" x14ac:dyDescent="0.2">
      <c r="A146" s="85" t="s">
        <v>847</v>
      </c>
      <c r="B146" s="85">
        <v>771862098</v>
      </c>
      <c r="C146" s="72" t="s">
        <v>848</v>
      </c>
      <c r="D146" s="62" t="s">
        <v>405</v>
      </c>
      <c r="E146" s="63" t="s">
        <v>849</v>
      </c>
      <c r="F146" s="62">
        <v>932295051</v>
      </c>
      <c r="G146" s="62" t="s">
        <v>725</v>
      </c>
      <c r="H146" s="67"/>
      <c r="I146" s="64"/>
      <c r="J146" s="62"/>
      <c r="K146" s="62"/>
      <c r="L146" s="62"/>
      <c r="M146" s="62"/>
      <c r="N146" s="62"/>
      <c r="O146" s="64"/>
      <c r="P146" s="62"/>
      <c r="Q146" s="71" t="s">
        <v>690</v>
      </c>
      <c r="R146" s="62"/>
      <c r="S146" s="62"/>
      <c r="T146" s="62"/>
      <c r="U146" s="67"/>
      <c r="V146" s="67"/>
      <c r="W146" s="65"/>
      <c r="X146" s="89">
        <v>0</v>
      </c>
      <c r="Y146" s="66">
        <v>0</v>
      </c>
      <c r="Z146" s="66">
        <v>0</v>
      </c>
      <c r="AA146" s="93">
        <v>0</v>
      </c>
      <c r="AB146" s="98">
        <v>0</v>
      </c>
      <c r="AC146" s="102">
        <v>0</v>
      </c>
    </row>
    <row r="147" spans="1:29" s="58" customFormat="1" ht="18" customHeight="1" x14ac:dyDescent="0.2">
      <c r="A147" s="85" t="s">
        <v>850</v>
      </c>
      <c r="B147" s="85">
        <v>130957684</v>
      </c>
      <c r="C147" s="72" t="s">
        <v>851</v>
      </c>
      <c r="D147" s="62" t="s">
        <v>408</v>
      </c>
      <c r="E147" s="63" t="s">
        <v>852</v>
      </c>
      <c r="F147" s="62">
        <v>982390866</v>
      </c>
      <c r="G147" s="62" t="s">
        <v>725</v>
      </c>
      <c r="H147" s="67" t="s">
        <v>853</v>
      </c>
      <c r="I147" s="64"/>
      <c r="J147" s="62"/>
      <c r="K147" s="62"/>
      <c r="L147" s="62">
        <v>4</v>
      </c>
      <c r="M147" s="62"/>
      <c r="N147" s="62" t="s">
        <v>854</v>
      </c>
      <c r="O147" s="64"/>
      <c r="P147" s="62"/>
      <c r="Q147" s="71" t="s">
        <v>855</v>
      </c>
      <c r="R147" s="62"/>
      <c r="S147" s="62"/>
      <c r="T147" s="62"/>
      <c r="U147" s="67"/>
      <c r="V147" s="67"/>
      <c r="W147" s="65"/>
      <c r="X147" s="89">
        <v>0</v>
      </c>
      <c r="Y147" s="66">
        <v>0</v>
      </c>
      <c r="Z147" s="66">
        <v>0</v>
      </c>
      <c r="AA147" s="93">
        <v>0</v>
      </c>
      <c r="AB147" s="98">
        <v>0</v>
      </c>
      <c r="AC147" s="102">
        <v>0</v>
      </c>
    </row>
    <row r="148" spans="1:29" s="58" customFormat="1" ht="18" customHeight="1" x14ac:dyDescent="0.2">
      <c r="A148" s="85" t="s">
        <v>912</v>
      </c>
      <c r="B148" s="85">
        <v>146351107</v>
      </c>
      <c r="C148" s="72" t="s">
        <v>856</v>
      </c>
      <c r="D148" s="62" t="s">
        <v>447</v>
      </c>
      <c r="E148" s="63" t="s">
        <v>857</v>
      </c>
      <c r="F148" s="62">
        <v>933851045</v>
      </c>
      <c r="G148" s="62" t="s">
        <v>725</v>
      </c>
      <c r="H148" s="67" t="s">
        <v>858</v>
      </c>
      <c r="I148" s="64"/>
      <c r="J148" s="62" t="s">
        <v>856</v>
      </c>
      <c r="K148" s="62" t="s">
        <v>366</v>
      </c>
      <c r="L148" s="62">
        <v>1</v>
      </c>
      <c r="M148" s="62"/>
      <c r="N148" s="62" t="s">
        <v>446</v>
      </c>
      <c r="O148" s="64"/>
      <c r="P148" s="62"/>
      <c r="Q148" s="71" t="s">
        <v>690</v>
      </c>
      <c r="R148" s="62"/>
      <c r="S148" s="62"/>
      <c r="T148" s="62"/>
      <c r="U148" s="67" t="s">
        <v>447</v>
      </c>
      <c r="V148" s="67"/>
      <c r="W148" s="65"/>
      <c r="X148" s="89">
        <v>304</v>
      </c>
      <c r="Y148" s="66">
        <v>269</v>
      </c>
      <c r="Z148" s="89">
        <f>SUM(X148-Y148)</f>
        <v>35</v>
      </c>
      <c r="AA148" s="93">
        <v>0.98979591836734693</v>
      </c>
      <c r="AB148" s="98">
        <v>6956310</v>
      </c>
      <c r="AC148" s="102">
        <v>193.2</v>
      </c>
    </row>
    <row r="149" spans="1:29" s="58" customFormat="1" ht="18" customHeight="1" x14ac:dyDescent="0.2">
      <c r="A149" s="85" t="s">
        <v>859</v>
      </c>
      <c r="B149" s="85">
        <v>771250688</v>
      </c>
      <c r="C149" s="72" t="s">
        <v>441</v>
      </c>
      <c r="D149" s="62" t="s">
        <v>442</v>
      </c>
      <c r="E149" s="63" t="s">
        <v>860</v>
      </c>
      <c r="F149" s="62" t="s">
        <v>914</v>
      </c>
      <c r="G149" s="62" t="s">
        <v>328</v>
      </c>
      <c r="H149" s="67" t="s">
        <v>861</v>
      </c>
      <c r="I149" s="64"/>
      <c r="J149" s="62"/>
      <c r="K149" s="62"/>
      <c r="L149" s="62">
        <v>4</v>
      </c>
      <c r="M149" s="62"/>
      <c r="N149" s="62" t="s">
        <v>862</v>
      </c>
      <c r="O149" s="64"/>
      <c r="P149" s="62"/>
      <c r="Q149" s="71" t="s">
        <v>836</v>
      </c>
      <c r="R149" s="62"/>
      <c r="S149" s="62"/>
      <c r="T149" s="62"/>
      <c r="U149" s="67"/>
      <c r="V149" s="67"/>
      <c r="W149" s="65"/>
      <c r="X149" s="89">
        <v>381</v>
      </c>
      <c r="Y149" s="66">
        <v>259</v>
      </c>
      <c r="Z149" s="89">
        <f>SUM(X149-Y149)</f>
        <v>122</v>
      </c>
      <c r="AA149" s="93">
        <v>0.64026402640264024</v>
      </c>
      <c r="AB149" s="98">
        <v>6612410</v>
      </c>
      <c r="AC149" s="102">
        <v>353.04999999999995</v>
      </c>
    </row>
    <row r="150" spans="1:29" s="58" customFormat="1" ht="18" customHeight="1" x14ac:dyDescent="0.2">
      <c r="A150" s="85" t="s">
        <v>830</v>
      </c>
      <c r="B150" s="85">
        <v>777307800</v>
      </c>
      <c r="C150" s="72" t="s">
        <v>831</v>
      </c>
      <c r="D150" s="62" t="s">
        <v>326</v>
      </c>
      <c r="E150" s="63" t="s">
        <v>832</v>
      </c>
      <c r="F150" s="62"/>
      <c r="G150" s="62" t="s">
        <v>438</v>
      </c>
      <c r="H150" s="67"/>
      <c r="I150" s="64"/>
      <c r="J150" s="62"/>
      <c r="K150" s="62"/>
      <c r="L150" s="62">
        <v>1</v>
      </c>
      <c r="M150" s="62"/>
      <c r="N150" s="62" t="s">
        <v>121</v>
      </c>
      <c r="O150" s="64"/>
      <c r="P150" s="62"/>
      <c r="Q150" s="71" t="s">
        <v>690</v>
      </c>
      <c r="R150" s="62"/>
      <c r="S150" s="62"/>
      <c r="T150" s="62"/>
      <c r="U150" s="67"/>
      <c r="V150" s="67"/>
      <c r="W150" s="65"/>
      <c r="X150" s="89">
        <v>799</v>
      </c>
      <c r="Y150" s="66">
        <v>625</v>
      </c>
      <c r="Z150" s="89">
        <f>SUM(X150-Y150)</f>
        <v>174</v>
      </c>
      <c r="AA150" s="93">
        <v>0</v>
      </c>
      <c r="AB150" s="98">
        <v>16077750</v>
      </c>
      <c r="AC150" s="102">
        <v>0</v>
      </c>
    </row>
    <row r="151" spans="1:29" s="58" customFormat="1" ht="18" customHeight="1" x14ac:dyDescent="0.2">
      <c r="A151" s="85" t="s">
        <v>833</v>
      </c>
      <c r="B151" s="85" t="s">
        <v>1376</v>
      </c>
      <c r="C151" s="72" t="s">
        <v>834</v>
      </c>
      <c r="D151" s="62" t="s">
        <v>326</v>
      </c>
      <c r="E151" s="63" t="s">
        <v>835</v>
      </c>
      <c r="F151" s="62"/>
      <c r="G151" s="62" t="s">
        <v>438</v>
      </c>
      <c r="H151" s="67"/>
      <c r="I151" s="64"/>
      <c r="J151" s="62"/>
      <c r="K151" s="62"/>
      <c r="L151" s="62"/>
      <c r="M151" s="62"/>
      <c r="N151" s="62"/>
      <c r="O151" s="64"/>
      <c r="P151" s="62"/>
      <c r="Q151" s="71" t="s">
        <v>690</v>
      </c>
      <c r="R151" s="62"/>
      <c r="S151" s="62"/>
      <c r="T151" s="62"/>
      <c r="U151" s="67"/>
      <c r="V151" s="67"/>
      <c r="W151" s="65"/>
      <c r="X151" s="89">
        <v>0</v>
      </c>
      <c r="Y151" s="66">
        <v>0</v>
      </c>
      <c r="Z151" s="66">
        <v>0</v>
      </c>
      <c r="AA151" s="93">
        <v>0</v>
      </c>
      <c r="AB151" s="98">
        <v>0</v>
      </c>
      <c r="AC151" s="102">
        <v>0</v>
      </c>
    </row>
    <row r="152" spans="1:29" s="58" customFormat="1" ht="18" customHeight="1" x14ac:dyDescent="0.2">
      <c r="A152" s="85" t="s">
        <v>873</v>
      </c>
      <c r="B152" s="85">
        <v>760293652</v>
      </c>
      <c r="C152" s="72" t="s">
        <v>874</v>
      </c>
      <c r="D152" s="62" t="s">
        <v>405</v>
      </c>
      <c r="E152" s="63" t="s">
        <v>875</v>
      </c>
      <c r="F152" s="62">
        <v>956182397</v>
      </c>
      <c r="G152" s="62" t="s">
        <v>438</v>
      </c>
      <c r="H152" s="67" t="s">
        <v>876</v>
      </c>
      <c r="I152" s="64"/>
      <c r="J152" s="62"/>
      <c r="K152" s="62"/>
      <c r="L152" s="62">
        <v>3</v>
      </c>
      <c r="M152" s="62"/>
      <c r="N152" s="62" t="s">
        <v>732</v>
      </c>
      <c r="O152" s="64"/>
      <c r="P152" s="62"/>
      <c r="Q152" s="71" t="s">
        <v>690</v>
      </c>
      <c r="R152" s="62"/>
      <c r="S152" s="62"/>
      <c r="T152" s="62" t="s">
        <v>630</v>
      </c>
      <c r="U152" s="67"/>
      <c r="V152" s="67"/>
      <c r="W152" s="65"/>
      <c r="X152" s="89">
        <v>0</v>
      </c>
      <c r="Y152" s="66">
        <v>0</v>
      </c>
      <c r="Z152" s="66">
        <v>0</v>
      </c>
      <c r="AA152" s="93">
        <v>0</v>
      </c>
      <c r="AB152" s="98">
        <v>0</v>
      </c>
      <c r="AC152" s="102">
        <v>0</v>
      </c>
    </row>
    <row r="153" spans="1:29" s="58" customFormat="1" ht="18" customHeight="1" x14ac:dyDescent="0.2">
      <c r="A153" s="85" t="s">
        <v>878</v>
      </c>
      <c r="B153" s="85">
        <v>105613059</v>
      </c>
      <c r="C153" s="72" t="s">
        <v>879</v>
      </c>
      <c r="D153" s="62" t="s">
        <v>649</v>
      </c>
      <c r="E153" s="63" t="s">
        <v>880</v>
      </c>
      <c r="F153" s="62">
        <v>994676911</v>
      </c>
      <c r="G153" s="62" t="s">
        <v>725</v>
      </c>
      <c r="H153" s="67" t="s">
        <v>881</v>
      </c>
      <c r="I153" s="64"/>
      <c r="J153" s="62"/>
      <c r="K153" s="62"/>
      <c r="L153" s="62">
        <v>1</v>
      </c>
      <c r="M153" s="62"/>
      <c r="N153" s="62" t="s">
        <v>882</v>
      </c>
      <c r="O153" s="64"/>
      <c r="P153" s="75">
        <v>0.05</v>
      </c>
      <c r="Q153" s="71" t="s">
        <v>690</v>
      </c>
      <c r="R153" s="62"/>
      <c r="S153" s="62"/>
      <c r="T153" s="62"/>
      <c r="U153" s="67"/>
      <c r="V153" s="67"/>
      <c r="W153" s="65"/>
      <c r="X153" s="89">
        <v>42</v>
      </c>
      <c r="Y153" s="66">
        <v>41</v>
      </c>
      <c r="Z153" s="89">
        <f>SUM(X153-Y153)</f>
        <v>1</v>
      </c>
      <c r="AA153" s="93">
        <v>0</v>
      </c>
      <c r="AB153" s="98">
        <v>1086590</v>
      </c>
      <c r="AC153" s="102">
        <v>35.65</v>
      </c>
    </row>
    <row r="154" spans="1:29" s="58" customFormat="1" ht="18" customHeight="1" x14ac:dyDescent="0.2">
      <c r="A154" s="85" t="s">
        <v>885</v>
      </c>
      <c r="B154" s="85">
        <v>768994374</v>
      </c>
      <c r="C154" s="72" t="s">
        <v>886</v>
      </c>
      <c r="D154" s="62" t="s">
        <v>610</v>
      </c>
      <c r="E154" s="63" t="s">
        <v>887</v>
      </c>
      <c r="F154" s="62">
        <v>953729221</v>
      </c>
      <c r="G154" s="62" t="s">
        <v>328</v>
      </c>
      <c r="H154" s="67" t="s">
        <v>888</v>
      </c>
      <c r="I154" s="64"/>
      <c r="J154" s="62"/>
      <c r="K154" s="62"/>
      <c r="L154" s="62">
        <v>2</v>
      </c>
      <c r="M154" s="62"/>
      <c r="N154" s="62" t="s">
        <v>111</v>
      </c>
      <c r="O154" s="64"/>
      <c r="P154" s="62"/>
      <c r="Q154" s="71" t="s">
        <v>868</v>
      </c>
      <c r="R154" s="62"/>
      <c r="S154" s="62"/>
      <c r="T154" s="62" t="s">
        <v>113</v>
      </c>
      <c r="U154" s="67" t="s">
        <v>610</v>
      </c>
      <c r="V154" s="67"/>
      <c r="W154" s="65"/>
      <c r="X154" s="89">
        <v>182</v>
      </c>
      <c r="Y154" s="66">
        <v>178</v>
      </c>
      <c r="Z154" s="89">
        <f>SUM(X154-Y154)</f>
        <v>4</v>
      </c>
      <c r="AA154" s="93">
        <v>0</v>
      </c>
      <c r="AB154" s="98">
        <v>4556220</v>
      </c>
      <c r="AC154" s="102">
        <v>0</v>
      </c>
    </row>
    <row r="155" spans="1:29" s="58" customFormat="1" ht="18" customHeight="1" x14ac:dyDescent="0.2">
      <c r="A155" s="85" t="s">
        <v>33</v>
      </c>
      <c r="B155" s="85">
        <v>766400809</v>
      </c>
      <c r="C155" s="72" t="s">
        <v>889</v>
      </c>
      <c r="D155" s="62" t="s">
        <v>110</v>
      </c>
      <c r="E155" s="63" t="s">
        <v>890</v>
      </c>
      <c r="F155" s="62">
        <v>953729221</v>
      </c>
      <c r="G155" s="62" t="s">
        <v>328</v>
      </c>
      <c r="H155" s="67" t="s">
        <v>888</v>
      </c>
      <c r="I155" s="64"/>
      <c r="J155" s="62"/>
      <c r="K155" s="62"/>
      <c r="L155" s="62">
        <v>2</v>
      </c>
      <c r="M155" s="62"/>
      <c r="N155" s="62" t="s">
        <v>111</v>
      </c>
      <c r="O155" s="64"/>
      <c r="P155" s="62"/>
      <c r="Q155" s="71" t="s">
        <v>868</v>
      </c>
      <c r="R155" s="62"/>
      <c r="S155" s="62"/>
      <c r="T155" s="62" t="s">
        <v>113</v>
      </c>
      <c r="U155" s="67" t="s">
        <v>110</v>
      </c>
      <c r="V155" s="67"/>
      <c r="W155" s="65"/>
      <c r="X155" s="89">
        <v>266</v>
      </c>
      <c r="Y155" s="66">
        <v>258</v>
      </c>
      <c r="Z155" s="89">
        <f>SUM(X155-Y155)</f>
        <v>8</v>
      </c>
      <c r="AA155" s="93">
        <v>0</v>
      </c>
      <c r="AB155" s="98">
        <v>6649420</v>
      </c>
      <c r="AC155" s="102">
        <v>0</v>
      </c>
    </row>
    <row r="156" spans="1:29" s="58" customFormat="1" ht="18" customHeight="1" x14ac:dyDescent="0.2">
      <c r="A156" s="85" t="s">
        <v>579</v>
      </c>
      <c r="B156" s="85" t="s">
        <v>1367</v>
      </c>
      <c r="C156" s="72" t="s">
        <v>891</v>
      </c>
      <c r="D156" s="62" t="s">
        <v>586</v>
      </c>
      <c r="E156" s="63" t="s">
        <v>581</v>
      </c>
      <c r="F156" s="62">
        <v>966752904</v>
      </c>
      <c r="G156" s="62" t="s">
        <v>286</v>
      </c>
      <c r="H156" s="67" t="s">
        <v>583</v>
      </c>
      <c r="I156" s="64"/>
      <c r="J156" s="62" t="s">
        <v>892</v>
      </c>
      <c r="K156" s="62"/>
      <c r="L156" s="62">
        <v>4</v>
      </c>
      <c r="M156" s="62"/>
      <c r="N156" s="62" t="s">
        <v>741</v>
      </c>
      <c r="O156" s="64"/>
      <c r="P156" s="62"/>
      <c r="Q156" s="71" t="s">
        <v>893</v>
      </c>
      <c r="R156" s="62"/>
      <c r="S156" s="62" t="s">
        <v>569</v>
      </c>
      <c r="T156" s="62" t="s">
        <v>894</v>
      </c>
      <c r="U156" s="67" t="s">
        <v>586</v>
      </c>
      <c r="V156" s="67"/>
      <c r="W156" s="65"/>
      <c r="X156" s="89">
        <v>119</v>
      </c>
      <c r="Y156" s="66">
        <v>111</v>
      </c>
      <c r="Z156" s="89">
        <f>SUM(X156-Y156)</f>
        <v>8</v>
      </c>
      <c r="AA156" s="93">
        <v>0.83132530120481929</v>
      </c>
      <c r="AB156" s="98">
        <v>2824890</v>
      </c>
      <c r="AC156" s="102">
        <v>114.99999999999999</v>
      </c>
    </row>
    <row r="157" spans="1:29" s="58" customFormat="1" ht="18" customHeight="1" x14ac:dyDescent="0.2">
      <c r="A157" s="85" t="s">
        <v>1378</v>
      </c>
      <c r="B157" s="85">
        <v>770913578</v>
      </c>
      <c r="C157" s="72" t="s">
        <v>932</v>
      </c>
      <c r="D157" s="62" t="s">
        <v>934</v>
      </c>
      <c r="E157" s="63" t="s">
        <v>933</v>
      </c>
      <c r="F157" s="62">
        <v>56999573726</v>
      </c>
      <c r="G157" s="62"/>
      <c r="H157" s="67" t="s">
        <v>935</v>
      </c>
      <c r="I157" s="64"/>
      <c r="J157" s="62"/>
      <c r="K157" s="62"/>
      <c r="L157" s="62">
        <v>1</v>
      </c>
      <c r="M157" s="62"/>
      <c r="N157" s="62" t="s">
        <v>385</v>
      </c>
      <c r="O157" s="64"/>
      <c r="P157" s="62"/>
      <c r="Q157" s="71" t="s">
        <v>690</v>
      </c>
      <c r="R157" s="62"/>
      <c r="S157" s="62"/>
      <c r="T157" s="62" t="s">
        <v>936</v>
      </c>
      <c r="U157" s="67"/>
      <c r="V157" s="67"/>
      <c r="W157" s="65"/>
      <c r="X157" s="89">
        <v>141</v>
      </c>
      <c r="Y157" s="66">
        <v>129</v>
      </c>
      <c r="Z157" s="89">
        <f t="shared" ref="Z157:Z162" si="3">SUM(X157-Y157)</f>
        <v>12</v>
      </c>
      <c r="AA157" s="93">
        <v>0</v>
      </c>
      <c r="AB157" s="98">
        <v>3262710</v>
      </c>
      <c r="AC157" s="102">
        <v>100.05</v>
      </c>
    </row>
    <row r="158" spans="1:29" s="58" customFormat="1" ht="18" customHeight="1" x14ac:dyDescent="0.2">
      <c r="A158" s="85" t="s">
        <v>946</v>
      </c>
      <c r="B158" s="85">
        <v>769758240</v>
      </c>
      <c r="C158" s="72" t="s">
        <v>947</v>
      </c>
      <c r="D158" s="62" t="s">
        <v>949</v>
      </c>
      <c r="E158" s="63" t="s">
        <v>948</v>
      </c>
      <c r="F158" s="62"/>
      <c r="G158" s="62" t="s">
        <v>328</v>
      </c>
      <c r="H158" s="67" t="s">
        <v>950</v>
      </c>
      <c r="I158" s="64"/>
      <c r="J158" s="62"/>
      <c r="K158" s="62"/>
      <c r="L158" s="62"/>
      <c r="M158" s="62"/>
      <c r="N158" s="62" t="s">
        <v>1029</v>
      </c>
      <c r="O158" s="64"/>
      <c r="P158" s="62"/>
      <c r="Q158" s="71" t="s">
        <v>836</v>
      </c>
      <c r="R158" s="62"/>
      <c r="S158" s="62" t="s">
        <v>112</v>
      </c>
      <c r="T158" s="62"/>
      <c r="U158" s="67"/>
      <c r="V158" s="67"/>
      <c r="W158" s="65"/>
      <c r="X158" s="89">
        <v>50</v>
      </c>
      <c r="Y158" s="66">
        <v>47</v>
      </c>
      <c r="Z158" s="89">
        <f t="shared" si="3"/>
        <v>3</v>
      </c>
      <c r="AA158" s="93">
        <v>0.94</v>
      </c>
      <c r="AB158" s="98">
        <v>1261500</v>
      </c>
      <c r="AC158" s="102">
        <v>215.04999999999998</v>
      </c>
    </row>
    <row r="159" spans="1:29" s="58" customFormat="1" ht="18" customHeight="1" x14ac:dyDescent="0.2">
      <c r="A159" s="85" t="s">
        <v>953</v>
      </c>
      <c r="B159" s="85">
        <v>760381810</v>
      </c>
      <c r="C159" s="72" t="s">
        <v>952</v>
      </c>
      <c r="D159" s="62" t="s">
        <v>954</v>
      </c>
      <c r="E159" s="63" t="s">
        <v>955</v>
      </c>
      <c r="F159" s="62" t="s">
        <v>956</v>
      </c>
      <c r="G159" s="62" t="s">
        <v>957</v>
      </c>
      <c r="H159" s="67" t="s">
        <v>958</v>
      </c>
      <c r="I159" s="64"/>
      <c r="J159" s="62"/>
      <c r="K159" s="62"/>
      <c r="L159" s="62"/>
      <c r="M159" s="62"/>
      <c r="N159" s="62"/>
      <c r="O159" s="64"/>
      <c r="P159" s="62"/>
      <c r="Q159" s="71"/>
      <c r="R159" s="62"/>
      <c r="S159" s="62" t="s">
        <v>112</v>
      </c>
      <c r="T159" s="62" t="s">
        <v>959</v>
      </c>
      <c r="U159" s="67"/>
      <c r="V159" s="67"/>
      <c r="W159" s="65"/>
      <c r="X159" s="89">
        <v>96</v>
      </c>
      <c r="Y159" s="66">
        <v>82</v>
      </c>
      <c r="Z159" s="89">
        <f t="shared" si="3"/>
        <v>14</v>
      </c>
      <c r="AA159" s="93">
        <v>0</v>
      </c>
      <c r="AB159" s="98">
        <v>2120180</v>
      </c>
      <c r="AC159" s="102">
        <v>72.449999999999989</v>
      </c>
    </row>
    <row r="160" spans="1:29" s="58" customFormat="1" ht="18" customHeight="1" x14ac:dyDescent="0.2">
      <c r="A160" s="85" t="s">
        <v>962</v>
      </c>
      <c r="B160" s="85">
        <v>768243794</v>
      </c>
      <c r="C160" s="72" t="s">
        <v>961</v>
      </c>
      <c r="D160" s="62" t="s">
        <v>349</v>
      </c>
      <c r="E160" s="63" t="s">
        <v>963</v>
      </c>
      <c r="F160" s="62">
        <v>65733720</v>
      </c>
      <c r="G160" s="62" t="s">
        <v>957</v>
      </c>
      <c r="H160" s="67" t="s">
        <v>964</v>
      </c>
      <c r="I160" s="64"/>
      <c r="J160" s="62"/>
      <c r="K160" s="62"/>
      <c r="L160" s="62"/>
      <c r="M160" s="62"/>
      <c r="N160" s="62"/>
      <c r="O160" s="64"/>
      <c r="P160" s="62"/>
      <c r="Q160" s="71"/>
      <c r="R160" s="62"/>
      <c r="S160" s="62"/>
      <c r="T160" s="62"/>
      <c r="U160" s="67"/>
      <c r="V160" s="67"/>
      <c r="W160" s="65"/>
      <c r="X160" s="89">
        <v>104</v>
      </c>
      <c r="Y160" s="66">
        <v>68</v>
      </c>
      <c r="Z160" s="89">
        <f t="shared" si="3"/>
        <v>36</v>
      </c>
      <c r="AA160" s="93">
        <v>0.80529300567107753</v>
      </c>
      <c r="AB160" s="98">
        <v>1785320</v>
      </c>
      <c r="AC160" s="102">
        <v>733.69999999999993</v>
      </c>
    </row>
    <row r="161" spans="1:29" s="58" customFormat="1" ht="18" customHeight="1" x14ac:dyDescent="0.2">
      <c r="A161" s="85" t="s">
        <v>965</v>
      </c>
      <c r="B161" s="85">
        <v>760094900</v>
      </c>
      <c r="C161" s="72" t="s">
        <v>966</v>
      </c>
      <c r="D161" s="62" t="s">
        <v>452</v>
      </c>
      <c r="E161" s="63" t="s">
        <v>967</v>
      </c>
      <c r="F161" s="62">
        <v>953729221</v>
      </c>
      <c r="G161" s="62" t="s">
        <v>328</v>
      </c>
      <c r="H161" s="67" t="s">
        <v>968</v>
      </c>
      <c r="I161" s="64"/>
      <c r="J161" s="62"/>
      <c r="K161" s="62"/>
      <c r="L161" s="62"/>
      <c r="M161" s="62"/>
      <c r="N161" s="62" t="s">
        <v>969</v>
      </c>
      <c r="O161" s="64"/>
      <c r="P161" s="62"/>
      <c r="Q161" s="71"/>
      <c r="R161" s="62"/>
      <c r="S161" s="62"/>
      <c r="T161" s="62"/>
      <c r="U161" s="67"/>
      <c r="V161" s="67"/>
      <c r="W161" s="65"/>
      <c r="X161" s="89">
        <v>182</v>
      </c>
      <c r="Y161" s="66">
        <v>165</v>
      </c>
      <c r="Z161" s="89">
        <f t="shared" si="3"/>
        <v>17</v>
      </c>
      <c r="AA161" s="93">
        <v>0</v>
      </c>
      <c r="AB161" s="98">
        <v>4205350</v>
      </c>
      <c r="AC161" s="102">
        <v>0</v>
      </c>
    </row>
    <row r="162" spans="1:29" s="58" customFormat="1" ht="18" customHeight="1" x14ac:dyDescent="0.2">
      <c r="A162" s="85" t="s">
        <v>971</v>
      </c>
      <c r="B162" s="85">
        <v>808569000</v>
      </c>
      <c r="C162" s="72" t="s">
        <v>970</v>
      </c>
      <c r="D162" s="62" t="s">
        <v>457</v>
      </c>
      <c r="E162" s="63" t="s">
        <v>972</v>
      </c>
      <c r="F162" s="62" t="s">
        <v>973</v>
      </c>
      <c r="G162" s="62" t="s">
        <v>286</v>
      </c>
      <c r="H162" s="67" t="s">
        <v>975</v>
      </c>
      <c r="I162" s="64"/>
      <c r="J162" s="62"/>
      <c r="K162" s="62"/>
      <c r="L162" s="62"/>
      <c r="M162" s="62"/>
      <c r="N162" s="62" t="s">
        <v>974</v>
      </c>
      <c r="O162" s="64"/>
      <c r="P162" s="62"/>
      <c r="Q162" s="71"/>
      <c r="R162" s="62"/>
      <c r="S162" s="62"/>
      <c r="T162" s="62"/>
      <c r="U162" s="67"/>
      <c r="V162" s="67"/>
      <c r="W162" s="65"/>
      <c r="X162" s="89">
        <v>98</v>
      </c>
      <c r="Y162" s="66">
        <v>92</v>
      </c>
      <c r="Z162" s="89">
        <f t="shared" si="3"/>
        <v>6</v>
      </c>
      <c r="AA162" s="93">
        <v>0.7053571428571429</v>
      </c>
      <c r="AB162" s="98">
        <v>2313080</v>
      </c>
      <c r="AC162" s="102">
        <v>188.6</v>
      </c>
    </row>
    <row r="163" spans="1:29" s="58" customFormat="1" ht="18" customHeight="1" x14ac:dyDescent="0.2">
      <c r="A163" s="85" t="s">
        <v>977</v>
      </c>
      <c r="B163" s="85">
        <v>122137252</v>
      </c>
      <c r="C163" s="72" t="s">
        <v>976</v>
      </c>
      <c r="D163" s="62" t="s">
        <v>457</v>
      </c>
      <c r="E163" s="63" t="s">
        <v>978</v>
      </c>
      <c r="F163" s="62">
        <v>993366440</v>
      </c>
      <c r="G163" s="62" t="s">
        <v>286</v>
      </c>
      <c r="H163" s="67" t="s">
        <v>979</v>
      </c>
      <c r="I163" s="64"/>
      <c r="J163" s="62"/>
      <c r="K163" s="62"/>
      <c r="L163" s="62"/>
      <c r="M163" s="62"/>
      <c r="N163" s="62" t="s">
        <v>732</v>
      </c>
      <c r="O163" s="64"/>
      <c r="P163" s="62"/>
      <c r="Q163" s="71"/>
      <c r="R163" s="62"/>
      <c r="S163" s="62"/>
      <c r="T163" s="62"/>
      <c r="U163" s="67"/>
      <c r="V163" s="67"/>
      <c r="W163" s="65"/>
      <c r="X163" s="89">
        <v>0</v>
      </c>
      <c r="Y163" s="66">
        <v>0</v>
      </c>
      <c r="Z163" s="66">
        <v>0</v>
      </c>
      <c r="AA163" s="93">
        <v>0</v>
      </c>
      <c r="AB163" s="98">
        <v>0</v>
      </c>
      <c r="AC163" s="102">
        <v>36.799999999999997</v>
      </c>
    </row>
    <row r="164" spans="1:29" s="58" customFormat="1" ht="18" customHeight="1" x14ac:dyDescent="0.2">
      <c r="A164" s="85" t="s">
        <v>981</v>
      </c>
      <c r="B164" s="85">
        <v>145577349</v>
      </c>
      <c r="C164" s="72" t="s">
        <v>980</v>
      </c>
      <c r="D164" s="62" t="s">
        <v>457</v>
      </c>
      <c r="E164" s="63" t="s">
        <v>982</v>
      </c>
      <c r="F164" s="62">
        <v>953484368</v>
      </c>
      <c r="G164" s="62" t="s">
        <v>286</v>
      </c>
      <c r="H164" s="67" t="s">
        <v>983</v>
      </c>
      <c r="I164" s="64"/>
      <c r="J164" s="62"/>
      <c r="K164" s="62"/>
      <c r="L164" s="62"/>
      <c r="M164" s="62"/>
      <c r="N164" s="62" t="s">
        <v>732</v>
      </c>
      <c r="O164" s="64"/>
      <c r="P164" s="62"/>
      <c r="Q164" s="71"/>
      <c r="R164" s="62"/>
      <c r="S164" s="62"/>
      <c r="T164" s="62"/>
      <c r="U164" s="67"/>
      <c r="V164" s="67"/>
      <c r="W164" s="65"/>
      <c r="X164" s="89">
        <v>0</v>
      </c>
      <c r="Y164" s="66">
        <v>0</v>
      </c>
      <c r="Z164" s="66">
        <v>0</v>
      </c>
      <c r="AA164" s="93">
        <v>0</v>
      </c>
      <c r="AB164" s="98">
        <v>0</v>
      </c>
      <c r="AC164" s="102">
        <v>28.749999999999996</v>
      </c>
    </row>
    <row r="165" spans="1:29" s="58" customFormat="1" ht="18" customHeight="1" x14ac:dyDescent="0.2">
      <c r="A165" s="85" t="s">
        <v>984</v>
      </c>
      <c r="B165" s="85">
        <v>773157928</v>
      </c>
      <c r="C165" s="72" t="s">
        <v>985</v>
      </c>
      <c r="D165" s="62" t="s">
        <v>367</v>
      </c>
      <c r="E165" s="63" t="s">
        <v>986</v>
      </c>
      <c r="F165" s="62">
        <v>952426962</v>
      </c>
      <c r="G165" s="62" t="s">
        <v>328</v>
      </c>
      <c r="H165" s="67" t="s">
        <v>987</v>
      </c>
      <c r="I165" s="64"/>
      <c r="J165" s="62"/>
      <c r="K165" s="62"/>
      <c r="L165" s="62"/>
      <c r="M165" s="62"/>
      <c r="N165" s="62" t="s">
        <v>118</v>
      </c>
      <c r="O165" s="64"/>
      <c r="P165" s="62"/>
      <c r="Q165" s="71"/>
      <c r="R165" s="62"/>
      <c r="S165" s="62"/>
      <c r="T165" s="62"/>
      <c r="U165" s="67"/>
      <c r="V165" s="67"/>
      <c r="W165" s="65"/>
      <c r="X165" s="89">
        <v>84</v>
      </c>
      <c r="Y165" s="66">
        <v>70</v>
      </c>
      <c r="Z165" s="89">
        <f>SUM(X165-Y165)</f>
        <v>14</v>
      </c>
      <c r="AA165" s="93">
        <v>0.83333333333333337</v>
      </c>
      <c r="AB165" s="98">
        <v>2075160</v>
      </c>
      <c r="AC165" s="102">
        <v>156.39999999999998</v>
      </c>
    </row>
    <row r="166" spans="1:29" s="58" customFormat="1" ht="18" customHeight="1" x14ac:dyDescent="0.2">
      <c r="A166" s="85" t="s">
        <v>988</v>
      </c>
      <c r="B166" s="85">
        <v>771115829</v>
      </c>
      <c r="C166" s="72" t="s">
        <v>989</v>
      </c>
      <c r="D166" s="62" t="s">
        <v>394</v>
      </c>
      <c r="E166" s="63" t="s">
        <v>990</v>
      </c>
      <c r="F166" s="62">
        <v>999392376</v>
      </c>
      <c r="G166" s="62" t="s">
        <v>328</v>
      </c>
      <c r="H166" s="67" t="s">
        <v>991</v>
      </c>
      <c r="I166" s="64"/>
      <c r="J166" s="62"/>
      <c r="K166" s="62"/>
      <c r="L166" s="62"/>
      <c r="M166" s="62"/>
      <c r="N166" s="62" t="s">
        <v>453</v>
      </c>
      <c r="O166" s="64"/>
      <c r="P166" s="62"/>
      <c r="Q166" s="71"/>
      <c r="R166" s="62"/>
      <c r="S166" s="62" t="s">
        <v>353</v>
      </c>
      <c r="T166" s="62"/>
      <c r="U166" s="67"/>
      <c r="V166" s="67"/>
      <c r="W166" s="65"/>
      <c r="X166" s="89">
        <v>0</v>
      </c>
      <c r="Y166" s="66">
        <v>0</v>
      </c>
      <c r="Z166" s="66">
        <v>0</v>
      </c>
      <c r="AA166" s="93">
        <v>0</v>
      </c>
      <c r="AB166" s="98">
        <v>0</v>
      </c>
      <c r="AC166" s="102">
        <v>0</v>
      </c>
    </row>
    <row r="167" spans="1:29" ht="18" customHeight="1" x14ac:dyDescent="0.2"/>
  </sheetData>
  <hyperlinks>
    <hyperlink ref="H65" r:id="rId1" xr:uid="{00000000-0004-0000-0200-000000000000}"/>
    <hyperlink ref="H88" r:id="rId2" xr:uid="{00000000-0004-0000-0200-000001000000}"/>
    <hyperlink ref="H115" r:id="rId3" xr:uid="{00000000-0004-0000-0200-000002000000}"/>
    <hyperlink ref="H17" r:id="rId4" xr:uid="{00000000-0004-0000-0200-000003000000}"/>
    <hyperlink ref="H106" r:id="rId5" xr:uid="{00000000-0004-0000-0200-000004000000}"/>
    <hyperlink ref="H15" r:id="rId6" xr:uid="{00000000-0004-0000-0200-000005000000}"/>
    <hyperlink ref="H69" r:id="rId7" display="tiendayuly@patagoniachile.cl    " xr:uid="{00000000-0004-0000-0200-000006000000}"/>
    <hyperlink ref="H128" r:id="rId8" xr:uid="{00000000-0004-0000-0200-000007000000}"/>
    <hyperlink ref="H28" r:id="rId9" xr:uid="{00000000-0004-0000-0200-000008000000}"/>
    <hyperlink ref="H14" r:id="rId10" xr:uid="{00000000-0004-0000-0200-000009000000}"/>
    <hyperlink ref="H130" r:id="rId11" xr:uid="{00000000-0004-0000-0200-00000A000000}"/>
    <hyperlink ref="H140" r:id="rId12" xr:uid="{00000000-0004-0000-0200-00000B000000}"/>
    <hyperlink ref="H144" r:id="rId13" xr:uid="{00000000-0004-0000-0200-00000C000000}"/>
    <hyperlink ref="H145" r:id="rId14" xr:uid="{00000000-0004-0000-0200-00000D000000}"/>
    <hyperlink ref="H77" r:id="rId15" display="SAHARAANGOL@GMAIL.COM" xr:uid="{00000000-0004-0000-0200-00000E000000}"/>
    <hyperlink ref="H84" r:id="rId16" xr:uid="{00000000-0004-0000-0200-00000F000000}"/>
    <hyperlink ref="H45" r:id="rId17" xr:uid="{00000000-0004-0000-0200-000010000000}"/>
    <hyperlink ref="H58" r:id="rId18" display="BOUTIQUELOSCISNES@GMAIL.COM     " xr:uid="{00000000-0004-0000-0200-000011000000}"/>
    <hyperlink ref="H99" r:id="rId19" xr:uid="{00000000-0004-0000-0200-000012000000}"/>
    <hyperlink ref="H148" r:id="rId20" xr:uid="{00000000-0004-0000-0200-000013000000}"/>
    <hyperlink ref="H39" r:id="rId21" xr:uid="{00000000-0004-0000-0200-000014000000}"/>
    <hyperlink ref="H114" r:id="rId22" xr:uid="{00000000-0004-0000-0200-000015000000}"/>
    <hyperlink ref="H19" r:id="rId23" xr:uid="{00000000-0004-0000-0200-000016000000}"/>
    <hyperlink ref="H83" r:id="rId24" xr:uid="{00000000-0004-0000-0200-000017000000}"/>
    <hyperlink ref="H124" r:id="rId25" xr:uid="{00000000-0004-0000-0200-000018000000}"/>
    <hyperlink ref="H75" r:id="rId26" display="tiendascycecilia@gmail.com     " xr:uid="{00000000-0004-0000-0200-000019000000}"/>
    <hyperlink ref="H47" r:id="rId27" xr:uid="{00000000-0004-0000-0200-00001A000000}"/>
    <hyperlink ref="H16" r:id="rId28" xr:uid="{00000000-0004-0000-0200-00001B000000}"/>
    <hyperlink ref="H147" r:id="rId29" xr:uid="{00000000-0004-0000-0200-00001C000000}"/>
    <hyperlink ref="H72" r:id="rId30" display="e.anabalon@mawi.cl" xr:uid="{00000000-0004-0000-0200-00001D000000}"/>
    <hyperlink ref="H121" r:id="rId31" xr:uid="{00000000-0004-0000-0200-00001E000000}"/>
    <hyperlink ref="H142" r:id="rId32" xr:uid="{00000000-0004-0000-0200-00001F000000}"/>
    <hyperlink ref="H143" r:id="rId33" xr:uid="{00000000-0004-0000-0200-000020000000}"/>
    <hyperlink ref="H86" r:id="rId34" xr:uid="{00000000-0004-0000-0200-000021000000}"/>
    <hyperlink ref="H93" r:id="rId35" xr:uid="{00000000-0004-0000-0200-000022000000}"/>
    <hyperlink ref="H52" r:id="rId36" xr:uid="{00000000-0004-0000-0200-000023000000}"/>
    <hyperlink ref="H55" r:id="rId37" xr:uid="{00000000-0004-0000-0200-000024000000}"/>
    <hyperlink ref="H98" r:id="rId38" xr:uid="{00000000-0004-0000-0200-000025000000}"/>
    <hyperlink ref="H62" r:id="rId39" xr:uid="{00000000-0004-0000-0200-000026000000}"/>
    <hyperlink ref="H85" r:id="rId40" xr:uid="{00000000-0004-0000-0200-000027000000}"/>
    <hyperlink ref="H112" r:id="rId41" xr:uid="{00000000-0004-0000-0200-000028000000}"/>
    <hyperlink ref="H110" r:id="rId42" xr:uid="{00000000-0004-0000-0200-000029000000}"/>
    <hyperlink ref="H111" r:id="rId43" xr:uid="{00000000-0004-0000-0200-00002A000000}"/>
    <hyperlink ref="H152" r:id="rId44" xr:uid="{00000000-0004-0000-0200-00002B000000}"/>
    <hyperlink ref="H46" r:id="rId45" xr:uid="{00000000-0004-0000-0200-00002C000000}"/>
    <hyperlink ref="H81" r:id="rId46" xr:uid="{00000000-0004-0000-0200-00002D000000}"/>
    <hyperlink ref="H153" r:id="rId47" xr:uid="{00000000-0004-0000-0200-00002E000000}"/>
    <hyperlink ref="H117" r:id="rId48" xr:uid="{00000000-0004-0000-0200-00002F000000}"/>
    <hyperlink ref="H154" r:id="rId49" xr:uid="{00000000-0004-0000-0200-000030000000}"/>
    <hyperlink ref="H60" r:id="rId50" xr:uid="{00000000-0004-0000-0200-000031000000}"/>
    <hyperlink ref="H155" r:id="rId51" xr:uid="{00000000-0004-0000-0200-000032000000}"/>
    <hyperlink ref="H141" r:id="rId52" xr:uid="{00000000-0004-0000-0200-000033000000}"/>
    <hyperlink ref="H34" r:id="rId53" xr:uid="{00000000-0004-0000-0200-000034000000}"/>
    <hyperlink ref="H89" r:id="rId54" xr:uid="{00000000-0004-0000-0200-000035000000}"/>
    <hyperlink ref="H149" r:id="rId55" xr:uid="{00000000-0004-0000-0200-000036000000}"/>
    <hyperlink ref="I144" r:id="rId56" xr:uid="{00000000-0004-0000-0200-000037000000}"/>
    <hyperlink ref="H139" r:id="rId57" xr:uid="{00000000-0004-0000-0200-000038000000}"/>
    <hyperlink ref="H134" r:id="rId58" xr:uid="{00000000-0004-0000-0200-000039000000}"/>
    <hyperlink ref="H136" r:id="rId59" display="TIENDAJOSSELIN@HOTMAIL.COM    " xr:uid="{00000000-0004-0000-0200-00003A000000}"/>
    <hyperlink ref="H135" r:id="rId60" xr:uid="{00000000-0004-0000-0200-00003B000000}"/>
    <hyperlink ref="H137" r:id="rId61" xr:uid="{00000000-0004-0000-0200-00003C000000}"/>
    <hyperlink ref="H138" r:id="rId62" xr:uid="{00000000-0004-0000-0200-00003D000000}"/>
    <hyperlink ref="H133" r:id="rId63" display="joyas_veronica@hotmail.com    " xr:uid="{00000000-0004-0000-0200-00003E000000}"/>
    <hyperlink ref="H157" r:id="rId64" xr:uid="{00000000-0004-0000-0200-00003F000000}"/>
    <hyperlink ref="H71" r:id="rId65" display="cvegamartino@gmail.com        " xr:uid="{00000000-0004-0000-0200-000040000000}"/>
    <hyperlink ref="H160" r:id="rId66" xr:uid="{00000000-0004-0000-0200-000041000000}"/>
    <hyperlink ref="H165" r:id="rId67" xr:uid="{00000000-0004-0000-0200-000042000000}"/>
    <hyperlink ref="H166" r:id="rId68" xr:uid="{00000000-0004-0000-0200-000043000000}"/>
  </hyperlinks>
  <pageMargins left="0.7" right="0.7" top="0.75" bottom="0.75" header="0.3" footer="0.3"/>
  <pageSetup paperSize="9" scale="83" fitToWidth="0" fitToHeight="0" orientation="portrait" r:id="rId69"/>
  <drawing r:id="rId70"/>
  <legacyDrawing r:id="rId7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41" r:id="rId72" name="Button 1">
              <controlPr defaultSize="0" print="0" autoFill="0" autoPict="0" macro="[0]!volver">
                <anchor moveWithCells="1" sizeWithCells="1">
                  <from>
                    <xdr:col>0</xdr:col>
                    <xdr:colOff>19050</xdr:colOff>
                    <xdr:row>0</xdr:row>
                    <xdr:rowOff>28575</xdr:rowOff>
                  </from>
                  <to>
                    <xdr:col>0</xdr:col>
                    <xdr:colOff>885825</xdr:colOff>
                    <xdr:row>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42" r:id="rId73" name="Button 2">
              <controlPr defaultSize="0" print="0" autoFill="0" autoPict="0" macro="[0]!Botón2_Haga_clic_en">
                <anchor moveWithCells="1" sizeWithCells="1">
                  <from>
                    <xdr:col>0</xdr:col>
                    <xdr:colOff>19050</xdr:colOff>
                    <xdr:row>0</xdr:row>
                    <xdr:rowOff>28575</xdr:rowOff>
                  </from>
                  <to>
                    <xdr:col>0</xdr:col>
                    <xdr:colOff>885825</xdr:colOff>
                    <xdr:row>1</xdr:row>
                    <xdr:rowOff>76200</xdr:rowOff>
                  </to>
                </anchor>
              </controlPr>
            </control>
          </mc:Choice>
        </mc:AlternateContent>
      </controls>
    </mc:Choice>
  </mc:AlternateContent>
  <tableParts count="1">
    <tablePart r:id="rId7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2B2C-956F-4DD8-9685-3D435431E3AE}">
  <sheetPr codeName="Hoja4"/>
  <dimension ref="A1:I119"/>
  <sheetViews>
    <sheetView workbookViewId="0">
      <selection activeCell="J7" sqref="J7"/>
    </sheetView>
  </sheetViews>
  <sheetFormatPr baseColWidth="10" defaultRowHeight="12.75" x14ac:dyDescent="0.2"/>
  <cols>
    <col min="1" max="1" width="16.7109375" customWidth="1"/>
    <col min="2" max="2" width="50.5703125" bestFit="1" customWidth="1"/>
    <col min="3" max="3" width="11.42578125" style="25"/>
    <col min="4" max="4" width="29.85546875" customWidth="1"/>
    <col min="6" max="6" width="15.7109375" style="25" customWidth="1"/>
    <col min="7" max="7" width="16.7109375" style="299" customWidth="1"/>
    <col min="8" max="8" width="15.5703125" style="25" bestFit="1" customWidth="1"/>
    <col min="9" max="9" width="17" style="299" bestFit="1" customWidth="1"/>
  </cols>
  <sheetData>
    <row r="1" spans="1:9" x14ac:dyDescent="0.2">
      <c r="A1" t="s">
        <v>5</v>
      </c>
      <c r="B1" t="s">
        <v>2</v>
      </c>
      <c r="C1" s="25" t="s">
        <v>1889</v>
      </c>
      <c r="D1" t="s">
        <v>18</v>
      </c>
      <c r="E1" t="s">
        <v>4</v>
      </c>
      <c r="F1" s="25" t="s">
        <v>1890</v>
      </c>
      <c r="G1" s="299" t="s">
        <v>1891</v>
      </c>
      <c r="H1" s="25" t="s">
        <v>1892</v>
      </c>
      <c r="I1" s="299" t="s">
        <v>1893</v>
      </c>
    </row>
    <row r="2" spans="1:9" x14ac:dyDescent="0.2">
      <c r="A2">
        <v>48787584</v>
      </c>
      <c r="B2" t="s">
        <v>1894</v>
      </c>
      <c r="C2" s="25">
        <v>2</v>
      </c>
      <c r="D2" t="s">
        <v>1895</v>
      </c>
      <c r="E2" t="s">
        <v>1896</v>
      </c>
      <c r="F2" s="25">
        <v>505</v>
      </c>
      <c r="G2" s="299">
        <v>12867950</v>
      </c>
      <c r="H2" s="25">
        <v>438</v>
      </c>
      <c r="I2" s="299">
        <v>11150620</v>
      </c>
    </row>
    <row r="3" spans="1:9" x14ac:dyDescent="0.2">
      <c r="A3">
        <v>59133659</v>
      </c>
      <c r="B3" t="s">
        <v>1897</v>
      </c>
      <c r="C3" s="25">
        <v>6</v>
      </c>
      <c r="D3" t="s">
        <v>1898</v>
      </c>
      <c r="E3" t="s">
        <v>1899</v>
      </c>
      <c r="F3" s="25">
        <v>118</v>
      </c>
      <c r="G3" s="299">
        <v>2963820</v>
      </c>
      <c r="H3" s="25">
        <v>107</v>
      </c>
      <c r="I3" s="299">
        <v>2688930</v>
      </c>
    </row>
    <row r="4" spans="1:9" x14ac:dyDescent="0.2">
      <c r="A4">
        <v>60311234</v>
      </c>
      <c r="B4" t="s">
        <v>1900</v>
      </c>
      <c r="C4" s="25">
        <v>12</v>
      </c>
      <c r="D4" t="s">
        <v>1901</v>
      </c>
      <c r="E4" t="s">
        <v>1902</v>
      </c>
      <c r="F4" s="25">
        <v>62</v>
      </c>
      <c r="G4" s="299">
        <v>1574380</v>
      </c>
      <c r="H4" s="25">
        <v>55</v>
      </c>
      <c r="I4" s="299">
        <v>1399450</v>
      </c>
    </row>
    <row r="5" spans="1:9" x14ac:dyDescent="0.2">
      <c r="A5">
        <v>60921830</v>
      </c>
      <c r="B5" t="s">
        <v>1903</v>
      </c>
      <c r="C5" s="25">
        <v>6</v>
      </c>
      <c r="D5" t="s">
        <v>1898</v>
      </c>
      <c r="E5" t="s">
        <v>1904</v>
      </c>
      <c r="F5" s="25">
        <v>67</v>
      </c>
      <c r="G5" s="299">
        <v>1737330</v>
      </c>
      <c r="H5" s="25">
        <v>60</v>
      </c>
      <c r="I5" s="299">
        <v>1562400</v>
      </c>
    </row>
    <row r="6" spans="1:9" x14ac:dyDescent="0.2">
      <c r="A6">
        <v>63319104</v>
      </c>
      <c r="B6" t="s">
        <v>1905</v>
      </c>
      <c r="C6" s="25">
        <v>6</v>
      </c>
      <c r="D6" t="s">
        <v>1898</v>
      </c>
      <c r="E6" t="s">
        <v>1906</v>
      </c>
      <c r="F6" s="25">
        <v>71</v>
      </c>
      <c r="G6" s="299">
        <v>1821290</v>
      </c>
      <c r="H6" s="25">
        <v>65</v>
      </c>
      <c r="I6" s="299">
        <v>1665350</v>
      </c>
    </row>
    <row r="7" spans="1:9" x14ac:dyDescent="0.2">
      <c r="A7">
        <v>67999673</v>
      </c>
      <c r="B7" t="s">
        <v>1907</v>
      </c>
      <c r="C7" s="25">
        <v>2</v>
      </c>
      <c r="D7" t="s">
        <v>1895</v>
      </c>
      <c r="E7" t="s">
        <v>1908</v>
      </c>
      <c r="F7" s="25">
        <v>36</v>
      </c>
      <c r="G7" s="299">
        <v>917640</v>
      </c>
      <c r="H7" s="25">
        <v>36</v>
      </c>
      <c r="I7" s="299">
        <v>917640</v>
      </c>
    </row>
    <row r="8" spans="1:9" x14ac:dyDescent="0.2">
      <c r="A8">
        <v>70968371</v>
      </c>
      <c r="B8" t="s">
        <v>1909</v>
      </c>
      <c r="C8" s="25">
        <v>6</v>
      </c>
      <c r="D8" t="s">
        <v>1898</v>
      </c>
      <c r="E8" t="s">
        <v>1910</v>
      </c>
      <c r="F8" s="25">
        <v>130</v>
      </c>
      <c r="G8" s="299">
        <v>3367700</v>
      </c>
      <c r="H8" s="25">
        <v>125</v>
      </c>
      <c r="I8" s="299">
        <v>3238750</v>
      </c>
    </row>
    <row r="9" spans="1:9" x14ac:dyDescent="0.2">
      <c r="A9">
        <v>71650685</v>
      </c>
      <c r="B9" t="s">
        <v>1911</v>
      </c>
      <c r="C9" s="25">
        <v>2</v>
      </c>
      <c r="D9" t="s">
        <v>1895</v>
      </c>
      <c r="E9" t="s">
        <v>1912</v>
      </c>
      <c r="F9" s="25">
        <v>290</v>
      </c>
      <c r="G9" s="299">
        <v>7297100</v>
      </c>
      <c r="H9" s="25">
        <v>138</v>
      </c>
      <c r="I9" s="299">
        <v>3473620</v>
      </c>
    </row>
    <row r="10" spans="1:9" x14ac:dyDescent="0.2">
      <c r="A10">
        <v>72952936</v>
      </c>
      <c r="B10" t="s">
        <v>1913</v>
      </c>
      <c r="C10" s="25">
        <v>12</v>
      </c>
      <c r="D10" t="s">
        <v>1901</v>
      </c>
      <c r="E10" t="s">
        <v>1914</v>
      </c>
      <c r="F10" s="25">
        <v>104</v>
      </c>
      <c r="G10" s="299">
        <v>2694960</v>
      </c>
      <c r="H10" s="25">
        <v>93</v>
      </c>
      <c r="I10" s="299">
        <v>2418070</v>
      </c>
    </row>
    <row r="11" spans="1:9" x14ac:dyDescent="0.2">
      <c r="A11">
        <v>75099215</v>
      </c>
      <c r="B11" t="s">
        <v>1915</v>
      </c>
      <c r="C11" s="25">
        <v>2</v>
      </c>
      <c r="D11" t="s">
        <v>1895</v>
      </c>
      <c r="E11" t="s">
        <v>1916</v>
      </c>
      <c r="F11" s="25">
        <v>166</v>
      </c>
      <c r="G11" s="299">
        <v>4210340</v>
      </c>
      <c r="H11" s="25">
        <v>163</v>
      </c>
      <c r="I11" s="299">
        <v>4135370</v>
      </c>
    </row>
    <row r="12" spans="1:9" x14ac:dyDescent="0.2">
      <c r="A12">
        <v>76348294</v>
      </c>
      <c r="B12" t="s">
        <v>1917</v>
      </c>
      <c r="C12" s="25">
        <v>2</v>
      </c>
      <c r="D12" t="s">
        <v>1895</v>
      </c>
      <c r="E12">
        <v>2</v>
      </c>
      <c r="F12" s="25">
        <v>259</v>
      </c>
      <c r="G12" s="299">
        <v>6558410</v>
      </c>
      <c r="H12" s="25">
        <v>221</v>
      </c>
      <c r="I12" s="299">
        <v>5596790</v>
      </c>
    </row>
    <row r="13" spans="1:9" x14ac:dyDescent="0.2">
      <c r="A13">
        <v>81838518</v>
      </c>
      <c r="B13" t="s">
        <v>1919</v>
      </c>
      <c r="C13" s="25">
        <v>12</v>
      </c>
      <c r="D13" t="s">
        <v>1901</v>
      </c>
      <c r="E13" t="s">
        <v>1920</v>
      </c>
      <c r="F13" s="25">
        <v>102</v>
      </c>
      <c r="G13" s="299">
        <v>2668980</v>
      </c>
      <c r="H13" s="25">
        <v>58</v>
      </c>
      <c r="I13" s="299">
        <v>1517420</v>
      </c>
    </row>
    <row r="14" spans="1:9" x14ac:dyDescent="0.2">
      <c r="A14">
        <v>86732041</v>
      </c>
      <c r="B14" t="s">
        <v>1921</v>
      </c>
      <c r="C14" s="25">
        <v>6</v>
      </c>
      <c r="D14" t="s">
        <v>1898</v>
      </c>
      <c r="E14" t="s">
        <v>1906</v>
      </c>
      <c r="F14" s="25">
        <v>41</v>
      </c>
      <c r="G14" s="299">
        <v>1029590</v>
      </c>
      <c r="H14" s="25">
        <v>42</v>
      </c>
      <c r="I14" s="299">
        <v>1057580</v>
      </c>
    </row>
    <row r="15" spans="1:9" x14ac:dyDescent="0.2">
      <c r="A15" s="300" t="s">
        <v>1922</v>
      </c>
      <c r="B15" t="s">
        <v>1923</v>
      </c>
      <c r="C15" s="25">
        <v>6</v>
      </c>
      <c r="D15" t="s">
        <v>1898</v>
      </c>
      <c r="E15" t="s">
        <v>1924</v>
      </c>
      <c r="F15" s="25">
        <v>8</v>
      </c>
      <c r="G15" s="299">
        <v>207920</v>
      </c>
      <c r="H15" s="25">
        <v>0</v>
      </c>
      <c r="I15" s="299">
        <v>0</v>
      </c>
    </row>
    <row r="16" spans="1:9" x14ac:dyDescent="0.2">
      <c r="A16">
        <v>92761525</v>
      </c>
      <c r="B16" t="s">
        <v>1925</v>
      </c>
      <c r="C16" s="25">
        <v>2</v>
      </c>
      <c r="D16" t="s">
        <v>1895</v>
      </c>
      <c r="E16" t="s">
        <v>1926</v>
      </c>
      <c r="F16" s="25">
        <v>121</v>
      </c>
      <c r="G16" s="299">
        <v>3165790</v>
      </c>
      <c r="H16" s="25">
        <v>106</v>
      </c>
      <c r="I16" s="299">
        <v>2771940</v>
      </c>
    </row>
    <row r="17" spans="1:9" x14ac:dyDescent="0.2">
      <c r="A17">
        <v>93052528</v>
      </c>
      <c r="B17" t="s">
        <v>1927</v>
      </c>
      <c r="C17" s="25">
        <v>6</v>
      </c>
      <c r="D17" t="s">
        <v>1898</v>
      </c>
      <c r="E17" t="s">
        <v>1906</v>
      </c>
      <c r="F17" s="25">
        <v>553</v>
      </c>
      <c r="G17" s="299">
        <v>14187470</v>
      </c>
      <c r="H17" s="25">
        <v>441</v>
      </c>
      <c r="I17" s="299">
        <v>11312590</v>
      </c>
    </row>
    <row r="18" spans="1:9" x14ac:dyDescent="0.2">
      <c r="A18">
        <v>94411564</v>
      </c>
      <c r="B18" t="s">
        <v>1928</v>
      </c>
      <c r="C18" s="25">
        <v>12</v>
      </c>
      <c r="D18" t="s">
        <v>1901</v>
      </c>
      <c r="E18" t="s">
        <v>1929</v>
      </c>
      <c r="F18" s="25">
        <v>90</v>
      </c>
      <c r="G18" s="299">
        <v>2316100</v>
      </c>
      <c r="H18" s="25">
        <v>84</v>
      </c>
      <c r="I18" s="299">
        <v>2154160</v>
      </c>
    </row>
    <row r="19" spans="1:9" x14ac:dyDescent="0.2">
      <c r="A19">
        <v>96234422</v>
      </c>
      <c r="B19" t="s">
        <v>1930</v>
      </c>
      <c r="C19" s="25">
        <v>2</v>
      </c>
      <c r="D19" t="s">
        <v>1895</v>
      </c>
      <c r="E19" t="s">
        <v>1931</v>
      </c>
      <c r="F19" s="25">
        <v>228</v>
      </c>
      <c r="G19" s="299">
        <v>5836720</v>
      </c>
      <c r="H19" s="25">
        <v>198</v>
      </c>
      <c r="I19" s="299">
        <v>5030020</v>
      </c>
    </row>
    <row r="20" spans="1:9" x14ac:dyDescent="0.2">
      <c r="A20">
        <v>102705084</v>
      </c>
      <c r="B20" t="s">
        <v>1932</v>
      </c>
      <c r="C20" s="25">
        <v>12</v>
      </c>
      <c r="D20" t="s">
        <v>1901</v>
      </c>
      <c r="E20" t="s">
        <v>1933</v>
      </c>
      <c r="F20" s="25">
        <v>190</v>
      </c>
      <c r="G20" s="299">
        <v>4834100</v>
      </c>
      <c r="H20" s="25">
        <v>121</v>
      </c>
      <c r="I20" s="299">
        <v>3051790</v>
      </c>
    </row>
    <row r="21" spans="1:9" x14ac:dyDescent="0.2">
      <c r="A21">
        <v>105613059</v>
      </c>
      <c r="B21" t="s">
        <v>1934</v>
      </c>
      <c r="C21" s="25">
        <v>12</v>
      </c>
      <c r="D21" t="s">
        <v>1901</v>
      </c>
      <c r="E21" t="s">
        <v>1935</v>
      </c>
      <c r="F21" s="25">
        <v>42</v>
      </c>
      <c r="G21" s="299">
        <v>1112580</v>
      </c>
      <c r="H21" s="25">
        <v>41</v>
      </c>
      <c r="I21" s="299">
        <v>1086590</v>
      </c>
    </row>
    <row r="22" spans="1:9" x14ac:dyDescent="0.2">
      <c r="A22" t="s">
        <v>1362</v>
      </c>
      <c r="B22" t="s">
        <v>1936</v>
      </c>
      <c r="C22" s="25">
        <v>2</v>
      </c>
      <c r="D22" t="s">
        <v>1895</v>
      </c>
      <c r="E22" t="s">
        <v>1937</v>
      </c>
      <c r="F22" s="25">
        <v>49</v>
      </c>
      <c r="G22" s="299">
        <v>1240510</v>
      </c>
      <c r="H22" s="25">
        <v>40</v>
      </c>
      <c r="I22" s="299">
        <v>1006600</v>
      </c>
    </row>
    <row r="23" spans="1:9" x14ac:dyDescent="0.2">
      <c r="A23">
        <v>114079979</v>
      </c>
      <c r="B23" t="s">
        <v>1938</v>
      </c>
      <c r="C23" s="25">
        <v>12</v>
      </c>
      <c r="D23" t="s">
        <v>1901</v>
      </c>
      <c r="E23" t="s">
        <v>1939</v>
      </c>
      <c r="F23" s="25">
        <v>106</v>
      </c>
      <c r="G23" s="299">
        <v>2716940</v>
      </c>
      <c r="H23" s="25">
        <v>95</v>
      </c>
      <c r="I23" s="299">
        <v>2438050</v>
      </c>
    </row>
    <row r="24" spans="1:9" x14ac:dyDescent="0.2">
      <c r="A24">
        <v>115643592</v>
      </c>
      <c r="B24" t="s">
        <v>1940</v>
      </c>
      <c r="C24" s="25">
        <v>13</v>
      </c>
      <c r="D24" t="s">
        <v>1941</v>
      </c>
      <c r="E24" t="s">
        <v>1942</v>
      </c>
      <c r="F24" s="25">
        <v>623</v>
      </c>
      <c r="G24" s="299">
        <v>16052770</v>
      </c>
      <c r="H24" s="25">
        <v>497</v>
      </c>
      <c r="I24" s="299">
        <v>12767030</v>
      </c>
    </row>
    <row r="25" spans="1:9" x14ac:dyDescent="0.2">
      <c r="A25">
        <v>116841290</v>
      </c>
      <c r="B25" t="s">
        <v>1943</v>
      </c>
      <c r="C25" s="25">
        <v>2</v>
      </c>
      <c r="D25" t="s">
        <v>1895</v>
      </c>
      <c r="E25" t="s">
        <v>1912</v>
      </c>
      <c r="F25" s="25">
        <v>397</v>
      </c>
      <c r="G25" s="299">
        <v>10084030</v>
      </c>
      <c r="H25" s="25">
        <v>380</v>
      </c>
      <c r="I25" s="299">
        <v>9639200</v>
      </c>
    </row>
    <row r="26" spans="1:9" x14ac:dyDescent="0.2">
      <c r="A26">
        <v>120037366</v>
      </c>
      <c r="B26" t="s">
        <v>1944</v>
      </c>
      <c r="C26" s="25">
        <v>3</v>
      </c>
      <c r="D26" t="s">
        <v>1945</v>
      </c>
      <c r="E26" t="s">
        <v>1946</v>
      </c>
      <c r="F26" s="25">
        <v>70</v>
      </c>
      <c r="G26" s="299">
        <v>1772300</v>
      </c>
      <c r="H26" s="25">
        <v>57</v>
      </c>
      <c r="I26" s="299">
        <v>1447430</v>
      </c>
    </row>
    <row r="27" spans="1:9" x14ac:dyDescent="0.2">
      <c r="A27">
        <v>123737024</v>
      </c>
      <c r="B27" t="s">
        <v>1947</v>
      </c>
      <c r="C27" s="25">
        <v>2</v>
      </c>
      <c r="D27" t="s">
        <v>1895</v>
      </c>
      <c r="E27" t="s">
        <v>1942</v>
      </c>
      <c r="F27" s="25">
        <v>18</v>
      </c>
      <c r="G27" s="299">
        <v>467820</v>
      </c>
      <c r="H27" s="25">
        <v>0</v>
      </c>
      <c r="I27" s="299">
        <v>0</v>
      </c>
    </row>
    <row r="28" spans="1:9" x14ac:dyDescent="0.2">
      <c r="A28" t="s">
        <v>1363</v>
      </c>
      <c r="B28" t="s">
        <v>1948</v>
      </c>
      <c r="C28" s="25">
        <v>6</v>
      </c>
      <c r="D28" t="s">
        <v>1898</v>
      </c>
      <c r="E28" t="s">
        <v>1949</v>
      </c>
      <c r="F28" s="25">
        <v>4</v>
      </c>
      <c r="G28" s="299">
        <v>103960</v>
      </c>
      <c r="H28" s="25">
        <v>4</v>
      </c>
      <c r="I28" s="299">
        <v>103960</v>
      </c>
    </row>
    <row r="29" spans="1:9" x14ac:dyDescent="0.2">
      <c r="A29">
        <v>136381334</v>
      </c>
      <c r="B29" t="s">
        <v>1950</v>
      </c>
      <c r="C29" s="25">
        <v>6</v>
      </c>
      <c r="D29" t="s">
        <v>1898</v>
      </c>
      <c r="E29" t="s">
        <v>1906</v>
      </c>
      <c r="F29" s="25">
        <v>11</v>
      </c>
      <c r="G29" s="299">
        <v>296890</v>
      </c>
      <c r="H29" s="25">
        <v>11</v>
      </c>
      <c r="I29" s="299">
        <v>296890</v>
      </c>
    </row>
    <row r="30" spans="1:9" x14ac:dyDescent="0.2">
      <c r="A30">
        <v>137440369</v>
      </c>
      <c r="B30" t="s">
        <v>1951</v>
      </c>
      <c r="C30" s="25">
        <v>6</v>
      </c>
      <c r="D30" t="s">
        <v>1898</v>
      </c>
      <c r="E30" t="s">
        <v>1952</v>
      </c>
      <c r="F30" s="25">
        <v>192</v>
      </c>
      <c r="G30" s="299">
        <v>4942080</v>
      </c>
      <c r="H30" s="25">
        <v>163</v>
      </c>
      <c r="I30" s="299">
        <v>4191370</v>
      </c>
    </row>
    <row r="31" spans="1:9" x14ac:dyDescent="0.2">
      <c r="A31">
        <v>138622045</v>
      </c>
      <c r="B31" t="s">
        <v>1953</v>
      </c>
      <c r="C31" s="25">
        <v>6</v>
      </c>
      <c r="D31" t="s">
        <v>1898</v>
      </c>
      <c r="E31" t="s">
        <v>1906</v>
      </c>
      <c r="F31" s="25">
        <v>48</v>
      </c>
      <c r="G31" s="299">
        <v>1253520</v>
      </c>
      <c r="H31" s="25">
        <v>22</v>
      </c>
      <c r="I31" s="299">
        <v>571780</v>
      </c>
    </row>
    <row r="32" spans="1:9" x14ac:dyDescent="0.2">
      <c r="A32">
        <v>139701321</v>
      </c>
      <c r="B32" t="s">
        <v>1954</v>
      </c>
      <c r="C32" s="25">
        <v>3</v>
      </c>
      <c r="D32" t="s">
        <v>1945</v>
      </c>
      <c r="E32" t="s">
        <v>1955</v>
      </c>
      <c r="F32" s="25">
        <v>250</v>
      </c>
      <c r="G32" s="299">
        <v>6409500</v>
      </c>
      <c r="H32" s="25">
        <v>240</v>
      </c>
      <c r="I32" s="299">
        <v>6159600</v>
      </c>
    </row>
    <row r="33" spans="1:9" x14ac:dyDescent="0.2">
      <c r="A33">
        <v>143849244</v>
      </c>
      <c r="B33" t="s">
        <v>1956</v>
      </c>
      <c r="C33" s="25">
        <v>2</v>
      </c>
      <c r="D33" t="s">
        <v>1895</v>
      </c>
      <c r="E33" t="s">
        <v>1957</v>
      </c>
      <c r="F33" s="25">
        <v>92</v>
      </c>
      <c r="G33" s="299">
        <v>2329080</v>
      </c>
      <c r="H33" s="25">
        <v>92</v>
      </c>
      <c r="I33" s="299">
        <v>2335080</v>
      </c>
    </row>
    <row r="34" spans="1:9" x14ac:dyDescent="0.2">
      <c r="A34">
        <v>144052439</v>
      </c>
      <c r="B34" t="s">
        <v>1958</v>
      </c>
      <c r="C34" s="25">
        <v>2</v>
      </c>
      <c r="D34" t="s">
        <v>1895</v>
      </c>
      <c r="E34" t="s">
        <v>1959</v>
      </c>
      <c r="F34" s="25">
        <v>366</v>
      </c>
      <c r="G34" s="299">
        <v>9408340</v>
      </c>
      <c r="H34" s="25">
        <v>340</v>
      </c>
      <c r="I34" s="299">
        <v>8732600</v>
      </c>
    </row>
    <row r="35" spans="1:9" x14ac:dyDescent="0.2">
      <c r="A35">
        <v>144967860</v>
      </c>
      <c r="B35" t="s">
        <v>1960</v>
      </c>
      <c r="C35" s="25">
        <v>12</v>
      </c>
      <c r="D35" t="s">
        <v>1901</v>
      </c>
      <c r="E35" t="s">
        <v>1961</v>
      </c>
      <c r="F35" s="25">
        <v>359</v>
      </c>
      <c r="G35" s="299">
        <v>9313410</v>
      </c>
      <c r="H35" s="25">
        <v>228</v>
      </c>
      <c r="I35" s="299">
        <v>5950720</v>
      </c>
    </row>
    <row r="36" spans="1:9" x14ac:dyDescent="0.2">
      <c r="A36">
        <v>146351107</v>
      </c>
      <c r="B36" t="s">
        <v>1962</v>
      </c>
      <c r="C36" s="25">
        <v>12</v>
      </c>
      <c r="D36" t="s">
        <v>1901</v>
      </c>
      <c r="E36" t="s">
        <v>1963</v>
      </c>
      <c r="F36" s="25">
        <v>304</v>
      </c>
      <c r="G36" s="299">
        <v>7886960</v>
      </c>
      <c r="H36" s="25">
        <v>269</v>
      </c>
      <c r="I36" s="299">
        <v>6956310</v>
      </c>
    </row>
    <row r="37" spans="1:9" x14ac:dyDescent="0.2">
      <c r="A37">
        <v>154536493</v>
      </c>
      <c r="B37" t="s">
        <v>1964</v>
      </c>
      <c r="C37" s="25">
        <v>3</v>
      </c>
      <c r="D37" t="s">
        <v>1945</v>
      </c>
      <c r="E37" t="s">
        <v>1965</v>
      </c>
      <c r="F37" s="25">
        <v>44</v>
      </c>
      <c r="G37" s="299">
        <v>1111560</v>
      </c>
      <c r="H37" s="25">
        <v>20</v>
      </c>
      <c r="I37" s="299">
        <v>511800</v>
      </c>
    </row>
    <row r="38" spans="1:9" x14ac:dyDescent="0.2">
      <c r="A38" t="s">
        <v>1364</v>
      </c>
      <c r="B38" t="s">
        <v>1966</v>
      </c>
      <c r="C38" s="25">
        <v>3</v>
      </c>
      <c r="D38" t="s">
        <v>1945</v>
      </c>
      <c r="E38" t="s">
        <v>1967</v>
      </c>
      <c r="F38" s="25">
        <v>216</v>
      </c>
      <c r="G38" s="299">
        <v>5676840</v>
      </c>
      <c r="H38" s="25">
        <v>125</v>
      </c>
      <c r="I38" s="299">
        <v>3276750</v>
      </c>
    </row>
    <row r="39" spans="1:9" x14ac:dyDescent="0.2">
      <c r="A39">
        <v>162593110</v>
      </c>
      <c r="B39" t="s">
        <v>1968</v>
      </c>
      <c r="C39" s="25">
        <v>6</v>
      </c>
      <c r="D39" t="s">
        <v>1898</v>
      </c>
      <c r="E39" t="s">
        <v>1969</v>
      </c>
      <c r="F39" s="25">
        <v>214</v>
      </c>
      <c r="G39" s="299">
        <v>5603860</v>
      </c>
      <c r="H39" s="25">
        <v>125</v>
      </c>
      <c r="I39" s="299">
        <v>3258750</v>
      </c>
    </row>
    <row r="40" spans="1:9" x14ac:dyDescent="0.2">
      <c r="A40">
        <v>162603744</v>
      </c>
      <c r="B40" t="s">
        <v>1970</v>
      </c>
      <c r="C40" s="25">
        <v>6</v>
      </c>
      <c r="D40" t="s">
        <v>1898</v>
      </c>
      <c r="E40" t="s">
        <v>1969</v>
      </c>
      <c r="F40" s="25">
        <v>446</v>
      </c>
      <c r="G40" s="299">
        <v>11605540</v>
      </c>
      <c r="H40" s="25">
        <v>396</v>
      </c>
      <c r="I40" s="299">
        <v>10290040</v>
      </c>
    </row>
    <row r="41" spans="1:9" x14ac:dyDescent="0.2">
      <c r="A41">
        <v>196950281</v>
      </c>
      <c r="B41" t="s">
        <v>1971</v>
      </c>
      <c r="C41" s="25">
        <v>3</v>
      </c>
      <c r="D41" t="s">
        <v>1945</v>
      </c>
      <c r="E41" t="s">
        <v>1967</v>
      </c>
      <c r="F41" s="25">
        <v>164</v>
      </c>
      <c r="G41" s="299">
        <v>4262360</v>
      </c>
      <c r="H41" s="25">
        <v>149</v>
      </c>
      <c r="I41" s="299">
        <v>3876510</v>
      </c>
    </row>
    <row r="42" spans="1:9" x14ac:dyDescent="0.2">
      <c r="A42" t="s">
        <v>1365</v>
      </c>
      <c r="B42" t="s">
        <v>1972</v>
      </c>
      <c r="C42" s="25">
        <v>12</v>
      </c>
      <c r="D42" t="s">
        <v>1901</v>
      </c>
      <c r="E42" t="s">
        <v>1973</v>
      </c>
      <c r="F42" s="25">
        <v>92</v>
      </c>
      <c r="G42" s="299">
        <v>2341080</v>
      </c>
      <c r="H42" s="25">
        <v>69</v>
      </c>
      <c r="I42" s="299">
        <v>1740310</v>
      </c>
    </row>
    <row r="43" spans="1:9" x14ac:dyDescent="0.2">
      <c r="A43">
        <v>760094900</v>
      </c>
      <c r="B43" t="s">
        <v>1974</v>
      </c>
      <c r="C43" s="25">
        <v>2</v>
      </c>
      <c r="D43" t="s">
        <v>1895</v>
      </c>
      <c r="E43" t="s">
        <v>1896</v>
      </c>
      <c r="F43" s="25">
        <v>182</v>
      </c>
      <c r="G43" s="299">
        <v>4660180</v>
      </c>
      <c r="H43" s="25">
        <v>165</v>
      </c>
      <c r="I43" s="299">
        <v>4205350</v>
      </c>
    </row>
    <row r="44" spans="1:9" x14ac:dyDescent="0.2">
      <c r="A44">
        <v>760131962</v>
      </c>
      <c r="B44" t="s">
        <v>1975</v>
      </c>
      <c r="C44" s="25">
        <v>12</v>
      </c>
      <c r="D44" t="s">
        <v>1901</v>
      </c>
      <c r="E44" t="s">
        <v>1920</v>
      </c>
      <c r="F44" s="25">
        <v>83</v>
      </c>
      <c r="G44" s="299">
        <v>2114170</v>
      </c>
      <c r="H44" s="25">
        <v>96</v>
      </c>
      <c r="I44" s="299">
        <v>2446040</v>
      </c>
    </row>
    <row r="45" spans="1:9" x14ac:dyDescent="0.2">
      <c r="A45">
        <v>760176303</v>
      </c>
      <c r="B45" t="s">
        <v>1976</v>
      </c>
      <c r="C45" s="25">
        <v>2</v>
      </c>
      <c r="D45" t="s">
        <v>1895</v>
      </c>
      <c r="E45" t="s">
        <v>1926</v>
      </c>
      <c r="F45" s="25">
        <v>364</v>
      </c>
      <c r="G45" s="299">
        <v>9376360</v>
      </c>
      <c r="H45" s="25">
        <v>356</v>
      </c>
      <c r="I45" s="299">
        <v>9174440</v>
      </c>
    </row>
    <row r="46" spans="1:9" x14ac:dyDescent="0.2">
      <c r="A46">
        <v>760381810</v>
      </c>
      <c r="B46" t="s">
        <v>1977</v>
      </c>
      <c r="C46" s="25">
        <v>12</v>
      </c>
      <c r="D46" t="s">
        <v>1901</v>
      </c>
      <c r="E46" t="s">
        <v>1978</v>
      </c>
      <c r="F46" s="25">
        <v>96</v>
      </c>
      <c r="G46" s="299">
        <v>2471040</v>
      </c>
      <c r="H46" s="25">
        <v>82</v>
      </c>
      <c r="I46" s="299">
        <v>2120180</v>
      </c>
    </row>
    <row r="47" spans="1:9" x14ac:dyDescent="0.2">
      <c r="A47">
        <v>760484040</v>
      </c>
      <c r="B47" t="s">
        <v>1979</v>
      </c>
      <c r="C47" s="25">
        <v>2</v>
      </c>
      <c r="D47" t="s">
        <v>1895</v>
      </c>
      <c r="E47" t="s">
        <v>1965</v>
      </c>
      <c r="F47" s="25">
        <v>60</v>
      </c>
      <c r="G47" s="299">
        <v>1511400</v>
      </c>
      <c r="H47" s="25">
        <v>44</v>
      </c>
      <c r="I47" s="299">
        <v>1099560</v>
      </c>
    </row>
    <row r="48" spans="1:9" x14ac:dyDescent="0.2">
      <c r="A48">
        <v>760498424</v>
      </c>
      <c r="B48" t="s">
        <v>1980</v>
      </c>
      <c r="C48" s="25">
        <v>13</v>
      </c>
      <c r="D48" t="s">
        <v>1941</v>
      </c>
      <c r="E48" t="s">
        <v>1981</v>
      </c>
      <c r="F48" s="25">
        <v>1292</v>
      </c>
      <c r="G48" s="299">
        <v>33221080</v>
      </c>
      <c r="H48" s="25">
        <v>1159</v>
      </c>
      <c r="I48" s="299">
        <v>29769410</v>
      </c>
    </row>
    <row r="49" spans="1:9" x14ac:dyDescent="0.2">
      <c r="A49">
        <v>760678872</v>
      </c>
      <c r="B49" t="s">
        <v>1982</v>
      </c>
      <c r="C49" s="25">
        <v>2</v>
      </c>
      <c r="D49" t="s">
        <v>1895</v>
      </c>
      <c r="E49" t="s">
        <v>1973</v>
      </c>
      <c r="F49" s="25">
        <v>169</v>
      </c>
      <c r="G49" s="299">
        <v>4288310</v>
      </c>
      <c r="H49" s="25">
        <v>146</v>
      </c>
      <c r="I49" s="299">
        <v>3709540</v>
      </c>
    </row>
    <row r="50" spans="1:9" x14ac:dyDescent="0.2">
      <c r="A50">
        <v>760791865</v>
      </c>
      <c r="B50" t="s">
        <v>1983</v>
      </c>
      <c r="C50" s="25">
        <v>3</v>
      </c>
      <c r="D50" t="s">
        <v>1945</v>
      </c>
      <c r="E50" t="s">
        <v>1984</v>
      </c>
      <c r="F50" s="25">
        <v>143</v>
      </c>
      <c r="G50" s="299">
        <v>3677570</v>
      </c>
      <c r="H50" s="25">
        <v>74</v>
      </c>
      <c r="I50" s="299">
        <v>1904260</v>
      </c>
    </row>
    <row r="51" spans="1:9" x14ac:dyDescent="0.2">
      <c r="A51">
        <v>760993476</v>
      </c>
      <c r="B51" t="s">
        <v>1985</v>
      </c>
      <c r="C51" s="25">
        <v>12</v>
      </c>
      <c r="D51" t="s">
        <v>1901</v>
      </c>
      <c r="E51" t="s">
        <v>1986</v>
      </c>
      <c r="F51" s="25">
        <v>79</v>
      </c>
      <c r="G51" s="299">
        <v>1980210</v>
      </c>
      <c r="H51" s="25">
        <v>51</v>
      </c>
      <c r="I51" s="299">
        <v>1280490</v>
      </c>
    </row>
    <row r="52" spans="1:9" x14ac:dyDescent="0.2">
      <c r="A52">
        <v>761212206</v>
      </c>
      <c r="B52" t="s">
        <v>1987</v>
      </c>
      <c r="C52" s="25">
        <v>3</v>
      </c>
      <c r="D52" t="s">
        <v>1945</v>
      </c>
      <c r="E52" t="s">
        <v>1955</v>
      </c>
      <c r="F52" s="25">
        <v>277</v>
      </c>
      <c r="G52" s="299">
        <v>6961230</v>
      </c>
      <c r="H52" s="25">
        <v>252</v>
      </c>
      <c r="I52" s="299">
        <v>6335480</v>
      </c>
    </row>
    <row r="53" spans="1:9" x14ac:dyDescent="0.2">
      <c r="A53">
        <v>761687794</v>
      </c>
      <c r="B53" t="s">
        <v>1988</v>
      </c>
      <c r="C53" s="25">
        <v>13</v>
      </c>
      <c r="D53" t="s">
        <v>1941</v>
      </c>
      <c r="E53" t="s">
        <v>1963</v>
      </c>
      <c r="F53" s="25">
        <v>179</v>
      </c>
      <c r="G53" s="299">
        <v>4557210</v>
      </c>
      <c r="H53" s="25">
        <v>125</v>
      </c>
      <c r="I53" s="299">
        <v>3197750</v>
      </c>
    </row>
    <row r="54" spans="1:9" x14ac:dyDescent="0.2">
      <c r="A54">
        <v>761839098</v>
      </c>
      <c r="B54" t="s">
        <v>1989</v>
      </c>
      <c r="C54" s="25">
        <v>2</v>
      </c>
      <c r="D54" t="s">
        <v>1895</v>
      </c>
      <c r="E54" t="s">
        <v>1990</v>
      </c>
      <c r="F54" s="25">
        <v>394</v>
      </c>
      <c r="G54" s="299">
        <v>10268060</v>
      </c>
      <c r="H54" s="25">
        <v>349</v>
      </c>
      <c r="I54" s="299">
        <v>9101510</v>
      </c>
    </row>
    <row r="55" spans="1:9" x14ac:dyDescent="0.2">
      <c r="A55">
        <v>761952552</v>
      </c>
      <c r="B55" t="s">
        <v>1991</v>
      </c>
      <c r="C55" s="25">
        <v>2</v>
      </c>
      <c r="D55" t="s">
        <v>1895</v>
      </c>
      <c r="E55" t="s">
        <v>1918</v>
      </c>
      <c r="F55" s="25">
        <v>770</v>
      </c>
      <c r="G55" s="299">
        <v>19801300</v>
      </c>
      <c r="H55" s="25">
        <v>703</v>
      </c>
      <c r="I55" s="299">
        <v>18096970</v>
      </c>
    </row>
    <row r="56" spans="1:9" x14ac:dyDescent="0.2">
      <c r="A56">
        <v>761981951</v>
      </c>
      <c r="B56" t="s">
        <v>1992</v>
      </c>
      <c r="C56" s="25">
        <v>12</v>
      </c>
      <c r="D56" t="s">
        <v>1901</v>
      </c>
      <c r="E56" t="s">
        <v>1986</v>
      </c>
      <c r="F56" s="25">
        <v>144</v>
      </c>
      <c r="G56" s="299">
        <v>3646560</v>
      </c>
      <c r="H56" s="25">
        <v>130</v>
      </c>
      <c r="I56" s="299">
        <v>3272700</v>
      </c>
    </row>
    <row r="57" spans="1:9" x14ac:dyDescent="0.2">
      <c r="A57">
        <v>762535491</v>
      </c>
      <c r="B57" t="s">
        <v>1993</v>
      </c>
      <c r="C57" s="25">
        <v>41</v>
      </c>
      <c r="D57" t="s">
        <v>1994</v>
      </c>
      <c r="E57" t="s">
        <v>1990</v>
      </c>
      <c r="F57" s="25">
        <v>9155</v>
      </c>
      <c r="G57" s="299">
        <v>236778450</v>
      </c>
      <c r="H57" s="25">
        <v>5365</v>
      </c>
      <c r="I57" s="299">
        <v>138886350</v>
      </c>
    </row>
    <row r="58" spans="1:9" x14ac:dyDescent="0.2">
      <c r="A58">
        <v>763395200</v>
      </c>
      <c r="B58" t="s">
        <v>1995</v>
      </c>
      <c r="C58" s="25">
        <v>12</v>
      </c>
      <c r="D58" t="s">
        <v>1901</v>
      </c>
      <c r="E58" t="s">
        <v>1996</v>
      </c>
      <c r="F58" s="25">
        <v>119</v>
      </c>
      <c r="G58" s="299">
        <v>2990810</v>
      </c>
      <c r="H58" s="25">
        <v>116</v>
      </c>
      <c r="I58" s="299">
        <v>2914840</v>
      </c>
    </row>
    <row r="59" spans="1:9" x14ac:dyDescent="0.2">
      <c r="A59">
        <v>763565270</v>
      </c>
      <c r="B59" t="s">
        <v>1997</v>
      </c>
      <c r="C59" s="25">
        <v>2</v>
      </c>
      <c r="D59" t="s">
        <v>1895</v>
      </c>
      <c r="E59" t="s">
        <v>1998</v>
      </c>
      <c r="F59" s="25">
        <v>46</v>
      </c>
      <c r="G59" s="299">
        <v>1149540</v>
      </c>
      <c r="H59" s="25">
        <v>35</v>
      </c>
      <c r="I59" s="299">
        <v>874650</v>
      </c>
    </row>
    <row r="60" spans="1:9" x14ac:dyDescent="0.2">
      <c r="A60">
        <v>764058496</v>
      </c>
      <c r="B60" t="s">
        <v>1999</v>
      </c>
      <c r="C60" s="25">
        <v>2</v>
      </c>
      <c r="D60" t="s">
        <v>1895</v>
      </c>
      <c r="E60" t="s">
        <v>2000</v>
      </c>
      <c r="F60" s="25">
        <v>127</v>
      </c>
      <c r="G60" s="299">
        <v>3291730</v>
      </c>
      <c r="H60" s="25">
        <v>127</v>
      </c>
      <c r="I60" s="299">
        <v>3291730</v>
      </c>
    </row>
    <row r="61" spans="1:9" x14ac:dyDescent="0.2">
      <c r="A61" t="s">
        <v>2001</v>
      </c>
      <c r="B61" t="s">
        <v>2002</v>
      </c>
      <c r="C61" s="25">
        <v>3</v>
      </c>
      <c r="D61" t="s">
        <v>1945</v>
      </c>
      <c r="E61" t="s">
        <v>1946</v>
      </c>
      <c r="F61" s="25">
        <v>144</v>
      </c>
      <c r="G61" s="299">
        <v>3706560</v>
      </c>
      <c r="H61" s="25">
        <v>133</v>
      </c>
      <c r="I61" s="299">
        <v>3429670</v>
      </c>
    </row>
    <row r="62" spans="1:9" x14ac:dyDescent="0.2">
      <c r="A62" t="s">
        <v>2003</v>
      </c>
      <c r="B62" t="s">
        <v>2004</v>
      </c>
      <c r="C62" s="25">
        <v>2</v>
      </c>
      <c r="D62" t="s">
        <v>1895</v>
      </c>
      <c r="E62" t="s">
        <v>2005</v>
      </c>
      <c r="F62" s="25">
        <v>324</v>
      </c>
      <c r="G62" s="299">
        <v>8204760</v>
      </c>
      <c r="H62" s="25">
        <v>287</v>
      </c>
      <c r="I62" s="299">
        <v>7280130</v>
      </c>
    </row>
    <row r="63" spans="1:9" x14ac:dyDescent="0.2">
      <c r="A63">
        <v>764509315</v>
      </c>
      <c r="B63" t="s">
        <v>2006</v>
      </c>
      <c r="C63" s="25">
        <v>13</v>
      </c>
      <c r="D63" t="s">
        <v>1941</v>
      </c>
      <c r="E63" t="s">
        <v>1963</v>
      </c>
      <c r="F63" s="25">
        <v>132</v>
      </c>
      <c r="G63" s="299">
        <v>3430680</v>
      </c>
      <c r="H63" s="25">
        <v>129</v>
      </c>
      <c r="I63" s="299">
        <v>3355710</v>
      </c>
    </row>
    <row r="64" spans="1:9" x14ac:dyDescent="0.2">
      <c r="A64">
        <v>764543548</v>
      </c>
      <c r="B64" t="s">
        <v>2007</v>
      </c>
      <c r="C64" s="25">
        <v>12</v>
      </c>
      <c r="D64" t="s">
        <v>1901</v>
      </c>
      <c r="E64" t="s">
        <v>1920</v>
      </c>
      <c r="F64" s="25">
        <v>157</v>
      </c>
      <c r="G64" s="299">
        <v>4023430</v>
      </c>
      <c r="H64" s="25">
        <v>117</v>
      </c>
      <c r="I64" s="299">
        <v>2981830</v>
      </c>
    </row>
    <row r="65" spans="1:9" x14ac:dyDescent="0.2">
      <c r="A65">
        <v>765118298</v>
      </c>
      <c r="B65" t="s">
        <v>2008</v>
      </c>
      <c r="C65" s="25">
        <v>2</v>
      </c>
      <c r="D65" t="s">
        <v>1895</v>
      </c>
      <c r="E65" t="s">
        <v>1918</v>
      </c>
      <c r="F65" s="25">
        <v>195</v>
      </c>
      <c r="G65" s="299">
        <v>4999050</v>
      </c>
      <c r="H65" s="25">
        <v>166</v>
      </c>
      <c r="I65" s="299">
        <v>4271340</v>
      </c>
    </row>
    <row r="66" spans="1:9" x14ac:dyDescent="0.2">
      <c r="A66">
        <v>765183685</v>
      </c>
      <c r="B66" t="s">
        <v>2009</v>
      </c>
      <c r="C66" s="25">
        <v>6</v>
      </c>
      <c r="D66" t="s">
        <v>1898</v>
      </c>
      <c r="E66" t="s">
        <v>2010</v>
      </c>
      <c r="F66" s="25">
        <v>35</v>
      </c>
      <c r="G66" s="299">
        <v>896650</v>
      </c>
      <c r="H66" s="25">
        <v>33</v>
      </c>
      <c r="I66" s="299">
        <v>846670</v>
      </c>
    </row>
    <row r="67" spans="1:9" x14ac:dyDescent="0.2">
      <c r="A67">
        <v>766400809</v>
      </c>
      <c r="B67" t="s">
        <v>2011</v>
      </c>
      <c r="C67" s="25">
        <v>2</v>
      </c>
      <c r="D67" t="s">
        <v>1895</v>
      </c>
      <c r="E67" t="s">
        <v>1984</v>
      </c>
      <c r="F67" s="25">
        <v>266</v>
      </c>
      <c r="G67" s="299">
        <v>6857340</v>
      </c>
      <c r="H67" s="25">
        <v>258</v>
      </c>
      <c r="I67" s="299">
        <v>6649420</v>
      </c>
    </row>
    <row r="68" spans="1:9" x14ac:dyDescent="0.2">
      <c r="A68">
        <v>766518486</v>
      </c>
      <c r="B68" t="s">
        <v>2012</v>
      </c>
      <c r="C68" s="25">
        <v>2</v>
      </c>
      <c r="D68" t="s">
        <v>1895</v>
      </c>
      <c r="E68" t="s">
        <v>1912</v>
      </c>
      <c r="F68" s="25">
        <v>780</v>
      </c>
      <c r="G68" s="299">
        <v>19898200</v>
      </c>
      <c r="H68" s="25">
        <v>704</v>
      </c>
      <c r="I68" s="299">
        <v>17953960</v>
      </c>
    </row>
    <row r="69" spans="1:9" x14ac:dyDescent="0.2">
      <c r="A69">
        <v>766589502</v>
      </c>
      <c r="B69" t="s">
        <v>2013</v>
      </c>
      <c r="C69" s="25">
        <v>2</v>
      </c>
      <c r="D69" t="s">
        <v>1895</v>
      </c>
      <c r="E69" t="s">
        <v>1912</v>
      </c>
      <c r="F69" s="25">
        <v>477</v>
      </c>
      <c r="G69" s="299">
        <v>12150230</v>
      </c>
      <c r="H69" s="25">
        <v>402</v>
      </c>
      <c r="I69" s="299">
        <v>10195980</v>
      </c>
    </row>
    <row r="70" spans="1:9" x14ac:dyDescent="0.2">
      <c r="A70">
        <v>766623522</v>
      </c>
      <c r="B70" t="s">
        <v>2014</v>
      </c>
      <c r="C70" s="25">
        <v>2</v>
      </c>
      <c r="D70" t="s">
        <v>1895</v>
      </c>
      <c r="E70" t="s">
        <v>2015</v>
      </c>
      <c r="F70" s="25">
        <v>658</v>
      </c>
      <c r="G70" s="299">
        <v>16993420</v>
      </c>
      <c r="H70" s="25">
        <v>488</v>
      </c>
      <c r="I70" s="299">
        <v>12597120</v>
      </c>
    </row>
    <row r="71" spans="1:9" x14ac:dyDescent="0.2">
      <c r="A71">
        <v>766871836</v>
      </c>
      <c r="B71" t="s">
        <v>2016</v>
      </c>
      <c r="C71" s="25">
        <v>13</v>
      </c>
      <c r="D71" t="s">
        <v>1941</v>
      </c>
      <c r="E71" t="s">
        <v>1942</v>
      </c>
      <c r="F71" s="25">
        <v>540</v>
      </c>
      <c r="G71" s="299">
        <v>13782600</v>
      </c>
      <c r="H71" s="25">
        <v>444</v>
      </c>
      <c r="I71" s="299">
        <v>11290560</v>
      </c>
    </row>
    <row r="72" spans="1:9" x14ac:dyDescent="0.2">
      <c r="A72">
        <v>767469861</v>
      </c>
      <c r="B72" t="s">
        <v>2017</v>
      </c>
      <c r="C72" s="25">
        <v>6</v>
      </c>
      <c r="D72" t="s">
        <v>1898</v>
      </c>
      <c r="E72" t="s">
        <v>2018</v>
      </c>
      <c r="F72" s="25">
        <v>40</v>
      </c>
      <c r="G72" s="299">
        <v>1016600</v>
      </c>
      <c r="H72" s="25">
        <v>40</v>
      </c>
      <c r="I72" s="299">
        <v>1016600</v>
      </c>
    </row>
    <row r="73" spans="1:9" x14ac:dyDescent="0.2">
      <c r="A73">
        <v>767756089</v>
      </c>
      <c r="B73" t="s">
        <v>2019</v>
      </c>
      <c r="C73" s="25">
        <v>6</v>
      </c>
      <c r="D73" t="s">
        <v>1898</v>
      </c>
      <c r="E73" t="s">
        <v>2020</v>
      </c>
      <c r="F73" s="25">
        <v>293</v>
      </c>
      <c r="G73" s="299">
        <v>7554070</v>
      </c>
      <c r="H73" s="25">
        <v>262</v>
      </c>
      <c r="I73" s="299">
        <v>6752380</v>
      </c>
    </row>
    <row r="74" spans="1:9" x14ac:dyDescent="0.2">
      <c r="A74">
        <v>768243794</v>
      </c>
      <c r="B74" t="s">
        <v>2021</v>
      </c>
      <c r="C74" s="25">
        <v>2</v>
      </c>
      <c r="D74" t="s">
        <v>1895</v>
      </c>
      <c r="E74" t="s">
        <v>2022</v>
      </c>
      <c r="F74" s="25">
        <v>104</v>
      </c>
      <c r="G74" s="299">
        <v>2702960</v>
      </c>
      <c r="H74" s="25">
        <v>68</v>
      </c>
      <c r="I74" s="299">
        <v>1785320</v>
      </c>
    </row>
    <row r="75" spans="1:9" x14ac:dyDescent="0.2">
      <c r="A75">
        <v>768994374</v>
      </c>
      <c r="B75" t="s">
        <v>2023</v>
      </c>
      <c r="C75" s="25">
        <v>2</v>
      </c>
      <c r="D75" t="s">
        <v>1895</v>
      </c>
      <c r="E75" t="s">
        <v>2024</v>
      </c>
      <c r="F75" s="25">
        <v>182</v>
      </c>
      <c r="G75" s="299">
        <v>4660180</v>
      </c>
      <c r="H75" s="25">
        <v>178</v>
      </c>
      <c r="I75" s="299">
        <v>4556220</v>
      </c>
    </row>
    <row r="76" spans="1:9" x14ac:dyDescent="0.2">
      <c r="A76">
        <v>769654313</v>
      </c>
      <c r="B76" t="s">
        <v>2025</v>
      </c>
      <c r="C76" s="25">
        <v>2</v>
      </c>
      <c r="D76" t="s">
        <v>1895</v>
      </c>
      <c r="E76" t="s">
        <v>2026</v>
      </c>
      <c r="F76" s="25">
        <v>704</v>
      </c>
      <c r="G76" s="299">
        <v>18150960</v>
      </c>
      <c r="H76" s="25">
        <v>555</v>
      </c>
      <c r="I76" s="299">
        <v>14347450</v>
      </c>
    </row>
    <row r="77" spans="1:9" x14ac:dyDescent="0.2">
      <c r="A77">
        <v>769734309</v>
      </c>
      <c r="B77" t="s">
        <v>2027</v>
      </c>
      <c r="C77" s="25">
        <v>2</v>
      </c>
      <c r="D77" t="s">
        <v>1895</v>
      </c>
      <c r="E77" t="s">
        <v>1931</v>
      </c>
      <c r="F77" s="25">
        <v>437</v>
      </c>
      <c r="G77" s="299">
        <v>11224630</v>
      </c>
      <c r="H77" s="25">
        <v>314</v>
      </c>
      <c r="I77" s="299">
        <v>8052860</v>
      </c>
    </row>
    <row r="78" spans="1:9" x14ac:dyDescent="0.2">
      <c r="A78">
        <v>770295106</v>
      </c>
      <c r="B78" t="s">
        <v>2028</v>
      </c>
      <c r="C78" s="25">
        <v>2</v>
      </c>
      <c r="D78" t="s">
        <v>1895</v>
      </c>
      <c r="E78" t="s">
        <v>2029</v>
      </c>
      <c r="F78" s="25">
        <v>252</v>
      </c>
      <c r="G78" s="299">
        <v>6437480</v>
      </c>
      <c r="H78" s="25">
        <v>219</v>
      </c>
      <c r="I78" s="299">
        <v>5580810</v>
      </c>
    </row>
    <row r="79" spans="1:9" x14ac:dyDescent="0.2">
      <c r="A79">
        <v>770301300</v>
      </c>
      <c r="B79" t="s">
        <v>2030</v>
      </c>
      <c r="C79" s="25">
        <v>2</v>
      </c>
      <c r="D79" t="s">
        <v>1895</v>
      </c>
      <c r="E79" t="s">
        <v>2005</v>
      </c>
      <c r="F79" s="25">
        <v>464</v>
      </c>
      <c r="G79" s="299">
        <v>11893360</v>
      </c>
      <c r="H79" s="25">
        <v>421</v>
      </c>
      <c r="I79" s="299">
        <v>10799790</v>
      </c>
    </row>
    <row r="80" spans="1:9" x14ac:dyDescent="0.2">
      <c r="A80">
        <v>770657679</v>
      </c>
      <c r="B80" t="s">
        <v>2031</v>
      </c>
      <c r="C80" s="25">
        <v>12</v>
      </c>
      <c r="D80" t="s">
        <v>1901</v>
      </c>
      <c r="E80" t="s">
        <v>1996</v>
      </c>
      <c r="F80" s="25">
        <v>81</v>
      </c>
      <c r="G80" s="299">
        <v>2048190</v>
      </c>
      <c r="H80" s="25">
        <v>77</v>
      </c>
      <c r="I80" s="299">
        <v>1946230</v>
      </c>
    </row>
    <row r="81" spans="1:9" x14ac:dyDescent="0.2">
      <c r="A81">
        <v>770913578</v>
      </c>
      <c r="B81" t="s">
        <v>2032</v>
      </c>
      <c r="C81" s="25">
        <v>2</v>
      </c>
      <c r="D81" t="s">
        <v>1895</v>
      </c>
      <c r="E81" t="s">
        <v>2033</v>
      </c>
      <c r="F81" s="25">
        <v>141</v>
      </c>
      <c r="G81" s="299">
        <v>3562590</v>
      </c>
      <c r="H81" s="25">
        <v>129</v>
      </c>
      <c r="I81" s="299">
        <v>3262710</v>
      </c>
    </row>
    <row r="82" spans="1:9" x14ac:dyDescent="0.2">
      <c r="A82">
        <v>770927439</v>
      </c>
      <c r="B82" t="s">
        <v>2034</v>
      </c>
      <c r="C82" s="25">
        <v>2</v>
      </c>
      <c r="D82" t="s">
        <v>1895</v>
      </c>
      <c r="E82" t="s">
        <v>2035</v>
      </c>
      <c r="F82" s="25">
        <v>72</v>
      </c>
      <c r="G82" s="299">
        <v>1859280</v>
      </c>
      <c r="H82" s="25">
        <v>71</v>
      </c>
      <c r="I82" s="299">
        <v>1834290</v>
      </c>
    </row>
    <row r="83" spans="1:9" x14ac:dyDescent="0.2">
      <c r="A83">
        <v>771000207</v>
      </c>
      <c r="B83" t="s">
        <v>2036</v>
      </c>
      <c r="C83" s="25">
        <v>2</v>
      </c>
      <c r="D83" t="s">
        <v>1895</v>
      </c>
      <c r="E83" t="s">
        <v>1990</v>
      </c>
      <c r="F83" s="25">
        <v>98</v>
      </c>
      <c r="G83" s="299">
        <v>2511020</v>
      </c>
      <c r="H83" s="25">
        <v>55</v>
      </c>
      <c r="I83" s="299">
        <v>1403450</v>
      </c>
    </row>
    <row r="84" spans="1:9" x14ac:dyDescent="0.2">
      <c r="A84">
        <v>771017215</v>
      </c>
      <c r="B84" t="s">
        <v>2037</v>
      </c>
      <c r="C84" s="25">
        <v>2</v>
      </c>
      <c r="D84" t="s">
        <v>1895</v>
      </c>
      <c r="E84" t="s">
        <v>1959</v>
      </c>
      <c r="F84" s="25">
        <v>390</v>
      </c>
      <c r="G84" s="299">
        <v>10081100</v>
      </c>
      <c r="H84" s="25">
        <v>335</v>
      </c>
      <c r="I84" s="299">
        <v>8643650</v>
      </c>
    </row>
    <row r="85" spans="1:9" x14ac:dyDescent="0.2">
      <c r="A85">
        <v>771250688</v>
      </c>
      <c r="B85" t="s">
        <v>2038</v>
      </c>
      <c r="C85" s="25">
        <v>12</v>
      </c>
      <c r="D85" t="s">
        <v>1901</v>
      </c>
      <c r="E85" t="s">
        <v>1986</v>
      </c>
      <c r="F85" s="25">
        <v>381</v>
      </c>
      <c r="G85" s="299">
        <v>9763190</v>
      </c>
      <c r="H85" s="25">
        <v>259</v>
      </c>
      <c r="I85" s="299">
        <v>6612410</v>
      </c>
    </row>
    <row r="86" spans="1:9" x14ac:dyDescent="0.2">
      <c r="A86">
        <v>771418651</v>
      </c>
      <c r="B86" t="s">
        <v>2039</v>
      </c>
      <c r="C86" s="25">
        <v>2</v>
      </c>
      <c r="D86" t="s">
        <v>1895</v>
      </c>
      <c r="E86" t="s">
        <v>1902</v>
      </c>
      <c r="F86" s="25">
        <v>259</v>
      </c>
      <c r="G86" s="299">
        <v>6598410</v>
      </c>
      <c r="H86" s="25">
        <v>137</v>
      </c>
      <c r="I86" s="299">
        <v>3517630</v>
      </c>
    </row>
    <row r="87" spans="1:9" x14ac:dyDescent="0.2">
      <c r="A87">
        <v>771432808</v>
      </c>
      <c r="B87" t="s">
        <v>2040</v>
      </c>
      <c r="C87" s="25">
        <v>12</v>
      </c>
      <c r="D87" t="s">
        <v>1901</v>
      </c>
      <c r="E87" t="s">
        <v>2041</v>
      </c>
      <c r="F87" s="25">
        <v>168</v>
      </c>
      <c r="G87" s="299">
        <v>4268320</v>
      </c>
      <c r="H87" s="25">
        <v>148</v>
      </c>
      <c r="I87" s="299">
        <v>3768520</v>
      </c>
    </row>
    <row r="88" spans="1:9" x14ac:dyDescent="0.2">
      <c r="A88">
        <v>772090390</v>
      </c>
      <c r="B88" t="s">
        <v>2042</v>
      </c>
      <c r="C88" s="25">
        <v>2</v>
      </c>
      <c r="D88" t="s">
        <v>1895</v>
      </c>
      <c r="E88" t="s">
        <v>2015</v>
      </c>
      <c r="F88" s="25">
        <v>445</v>
      </c>
      <c r="G88" s="299">
        <v>11487550</v>
      </c>
      <c r="H88" s="25">
        <v>241</v>
      </c>
      <c r="I88" s="299">
        <v>6172590</v>
      </c>
    </row>
    <row r="89" spans="1:9" x14ac:dyDescent="0.2">
      <c r="A89" t="s">
        <v>1370</v>
      </c>
      <c r="B89" t="s">
        <v>2043</v>
      </c>
      <c r="C89" s="25">
        <v>6</v>
      </c>
      <c r="D89" t="s">
        <v>1898</v>
      </c>
      <c r="E89" t="s">
        <v>2020</v>
      </c>
      <c r="F89" s="25">
        <v>79</v>
      </c>
      <c r="G89" s="299">
        <v>2004210</v>
      </c>
      <c r="H89" s="25">
        <v>72</v>
      </c>
      <c r="I89" s="299">
        <v>1828280</v>
      </c>
    </row>
    <row r="90" spans="1:9" x14ac:dyDescent="0.2">
      <c r="A90" t="s">
        <v>2044</v>
      </c>
      <c r="B90" t="s">
        <v>2045</v>
      </c>
      <c r="C90" s="25">
        <v>1</v>
      </c>
      <c r="D90" t="s">
        <v>2046</v>
      </c>
      <c r="E90" t="s">
        <v>1990</v>
      </c>
      <c r="F90" s="25">
        <v>3</v>
      </c>
      <c r="G90" s="299">
        <v>77970</v>
      </c>
      <c r="H90" s="25">
        <v>0</v>
      </c>
      <c r="I90" s="299">
        <v>0</v>
      </c>
    </row>
    <row r="91" spans="1:9" x14ac:dyDescent="0.2">
      <c r="A91" t="s">
        <v>1367</v>
      </c>
      <c r="B91" t="s">
        <v>2047</v>
      </c>
      <c r="C91" s="25">
        <v>6</v>
      </c>
      <c r="D91" t="s">
        <v>1898</v>
      </c>
      <c r="E91" t="s">
        <v>1899</v>
      </c>
      <c r="F91" s="25">
        <v>119</v>
      </c>
      <c r="G91" s="299">
        <v>3032810</v>
      </c>
      <c r="H91" s="25">
        <v>111</v>
      </c>
      <c r="I91" s="299">
        <v>2824890</v>
      </c>
    </row>
    <row r="92" spans="1:9" x14ac:dyDescent="0.2">
      <c r="A92">
        <v>774518029</v>
      </c>
      <c r="B92" t="s">
        <v>2048</v>
      </c>
      <c r="C92" s="25">
        <v>6</v>
      </c>
      <c r="D92" t="s">
        <v>1898</v>
      </c>
      <c r="E92" t="s">
        <v>1899</v>
      </c>
      <c r="F92" s="25">
        <v>291</v>
      </c>
      <c r="G92" s="299">
        <v>7498090</v>
      </c>
      <c r="H92" s="25">
        <v>257</v>
      </c>
      <c r="I92" s="299">
        <v>6607430</v>
      </c>
    </row>
    <row r="93" spans="1:9" x14ac:dyDescent="0.2">
      <c r="A93">
        <v>774998772</v>
      </c>
      <c r="B93" t="s">
        <v>2049</v>
      </c>
      <c r="C93" s="25">
        <v>3</v>
      </c>
      <c r="D93" t="s">
        <v>1945</v>
      </c>
      <c r="E93" t="s">
        <v>1984</v>
      </c>
      <c r="F93" s="25">
        <v>10</v>
      </c>
      <c r="G93" s="299">
        <v>259900</v>
      </c>
      <c r="H93" s="25">
        <v>10</v>
      </c>
      <c r="I93" s="299">
        <v>259900</v>
      </c>
    </row>
    <row r="94" spans="1:9" x14ac:dyDescent="0.2">
      <c r="A94">
        <v>775142286</v>
      </c>
      <c r="B94" t="s">
        <v>2050</v>
      </c>
      <c r="C94" s="25">
        <v>2</v>
      </c>
      <c r="D94" t="s">
        <v>1895</v>
      </c>
      <c r="E94" t="s">
        <v>2051</v>
      </c>
      <c r="F94" s="25">
        <v>273</v>
      </c>
      <c r="G94" s="299">
        <v>7084270</v>
      </c>
      <c r="H94" s="25">
        <v>187</v>
      </c>
      <c r="I94" s="299">
        <v>4800130</v>
      </c>
    </row>
    <row r="95" spans="1:9" x14ac:dyDescent="0.2">
      <c r="A95">
        <v>775196882</v>
      </c>
      <c r="B95" t="s">
        <v>2052</v>
      </c>
      <c r="C95" s="25">
        <v>12</v>
      </c>
      <c r="D95" t="s">
        <v>1901</v>
      </c>
      <c r="E95" t="s">
        <v>2053</v>
      </c>
      <c r="F95" s="25">
        <v>110</v>
      </c>
      <c r="G95" s="299">
        <v>2792900</v>
      </c>
      <c r="H95" s="25">
        <v>68</v>
      </c>
      <c r="I95" s="299">
        <v>1737320</v>
      </c>
    </row>
    <row r="96" spans="1:9" x14ac:dyDescent="0.2">
      <c r="A96">
        <v>775867256</v>
      </c>
      <c r="B96" t="s">
        <v>2054</v>
      </c>
      <c r="C96" s="25">
        <v>2</v>
      </c>
      <c r="D96" t="s">
        <v>1895</v>
      </c>
      <c r="E96" t="s">
        <v>2033</v>
      </c>
      <c r="F96" s="25">
        <v>30</v>
      </c>
      <c r="G96" s="299">
        <v>779700</v>
      </c>
      <c r="H96" s="25">
        <v>29</v>
      </c>
      <c r="I96" s="299">
        <v>752710</v>
      </c>
    </row>
    <row r="97" spans="1:9" x14ac:dyDescent="0.2">
      <c r="A97">
        <v>775945109</v>
      </c>
      <c r="B97" t="s">
        <v>2055</v>
      </c>
      <c r="C97" s="25">
        <v>6</v>
      </c>
      <c r="D97" t="s">
        <v>1898</v>
      </c>
      <c r="E97" t="s">
        <v>2056</v>
      </c>
      <c r="F97" s="25">
        <v>14</v>
      </c>
      <c r="G97" s="299">
        <v>363860</v>
      </c>
      <c r="H97" s="25">
        <v>14</v>
      </c>
      <c r="I97" s="299">
        <v>363860</v>
      </c>
    </row>
    <row r="98" spans="1:9" x14ac:dyDescent="0.2">
      <c r="A98">
        <v>776161667</v>
      </c>
      <c r="B98" t="s">
        <v>2057</v>
      </c>
      <c r="C98" s="25">
        <v>3</v>
      </c>
      <c r="D98" t="s">
        <v>1945</v>
      </c>
      <c r="E98" t="s">
        <v>1955</v>
      </c>
      <c r="F98" s="25">
        <v>63</v>
      </c>
      <c r="G98" s="299">
        <v>1584370</v>
      </c>
      <c r="H98" s="25">
        <v>62</v>
      </c>
      <c r="I98" s="299">
        <v>1559380</v>
      </c>
    </row>
    <row r="99" spans="1:9" x14ac:dyDescent="0.2">
      <c r="A99">
        <v>776449733</v>
      </c>
      <c r="B99" t="s">
        <v>2058</v>
      </c>
      <c r="C99" s="25">
        <v>2</v>
      </c>
      <c r="D99" t="s">
        <v>1895</v>
      </c>
      <c r="E99" t="s">
        <v>2059</v>
      </c>
      <c r="F99" s="25">
        <v>75</v>
      </c>
      <c r="G99" s="299">
        <v>1957250</v>
      </c>
      <c r="H99" s="25">
        <v>58</v>
      </c>
      <c r="I99" s="299">
        <v>1518420</v>
      </c>
    </row>
    <row r="100" spans="1:9" x14ac:dyDescent="0.2">
      <c r="A100">
        <v>776506435</v>
      </c>
      <c r="B100" t="s">
        <v>2060</v>
      </c>
      <c r="C100" s="25">
        <v>6</v>
      </c>
      <c r="D100" t="s">
        <v>1898</v>
      </c>
      <c r="E100" t="s">
        <v>1906</v>
      </c>
      <c r="F100" s="25">
        <v>18</v>
      </c>
      <c r="G100" s="299">
        <v>461820</v>
      </c>
      <c r="H100" s="25">
        <v>0</v>
      </c>
      <c r="I100" s="299">
        <v>0</v>
      </c>
    </row>
    <row r="101" spans="1:9" x14ac:dyDescent="0.2">
      <c r="A101">
        <v>777307800</v>
      </c>
      <c r="B101" t="s">
        <v>2061</v>
      </c>
      <c r="C101" s="25">
        <v>10</v>
      </c>
      <c r="D101" t="s">
        <v>2062</v>
      </c>
      <c r="E101" t="s">
        <v>1990</v>
      </c>
      <c r="F101" s="25">
        <v>799</v>
      </c>
      <c r="G101" s="299">
        <v>20698010</v>
      </c>
      <c r="H101" s="25">
        <v>625</v>
      </c>
      <c r="I101" s="299">
        <v>16077750</v>
      </c>
    </row>
    <row r="102" spans="1:9" x14ac:dyDescent="0.2">
      <c r="A102">
        <v>779115070</v>
      </c>
      <c r="B102" t="s">
        <v>2063</v>
      </c>
      <c r="C102" s="25">
        <v>2</v>
      </c>
      <c r="D102" t="s">
        <v>1895</v>
      </c>
      <c r="E102" t="s">
        <v>1902</v>
      </c>
      <c r="F102" s="25">
        <v>96</v>
      </c>
      <c r="G102" s="299">
        <v>2447040</v>
      </c>
      <c r="H102" s="25">
        <v>86</v>
      </c>
      <c r="I102" s="299">
        <v>2197140</v>
      </c>
    </row>
    <row r="103" spans="1:9" x14ac:dyDescent="0.2">
      <c r="A103">
        <v>779568032</v>
      </c>
      <c r="B103" t="s">
        <v>2064</v>
      </c>
      <c r="C103" s="25">
        <v>3</v>
      </c>
      <c r="D103" t="s">
        <v>1945</v>
      </c>
      <c r="E103" t="s">
        <v>1967</v>
      </c>
      <c r="F103" s="25">
        <v>484</v>
      </c>
      <c r="G103" s="299">
        <v>12719160</v>
      </c>
      <c r="H103" s="25">
        <v>399</v>
      </c>
      <c r="I103" s="299">
        <v>10501010</v>
      </c>
    </row>
    <row r="104" spans="1:9" x14ac:dyDescent="0.2">
      <c r="A104">
        <v>781827843</v>
      </c>
      <c r="B104" t="s">
        <v>2065</v>
      </c>
      <c r="C104" s="25">
        <v>2</v>
      </c>
      <c r="D104" t="s">
        <v>1895</v>
      </c>
      <c r="E104" t="s">
        <v>1899</v>
      </c>
      <c r="F104" s="25">
        <v>9</v>
      </c>
      <c r="G104" s="299">
        <v>242910</v>
      </c>
      <c r="H104" s="25">
        <v>9</v>
      </c>
      <c r="I104" s="299">
        <v>242910</v>
      </c>
    </row>
    <row r="105" spans="1:9" x14ac:dyDescent="0.2">
      <c r="A105">
        <v>784161900</v>
      </c>
      <c r="B105" t="s">
        <v>2066</v>
      </c>
      <c r="C105" s="25">
        <v>3</v>
      </c>
      <c r="D105" t="s">
        <v>1945</v>
      </c>
      <c r="E105" t="s">
        <v>1967</v>
      </c>
      <c r="F105" s="25">
        <v>291</v>
      </c>
      <c r="G105" s="299">
        <v>7612090</v>
      </c>
      <c r="H105" s="25">
        <v>177</v>
      </c>
      <c r="I105" s="299">
        <v>4610230</v>
      </c>
    </row>
    <row r="106" spans="1:9" x14ac:dyDescent="0.2">
      <c r="A106">
        <v>788014902</v>
      </c>
      <c r="B106" t="s">
        <v>2067</v>
      </c>
      <c r="C106" s="25">
        <v>6</v>
      </c>
      <c r="D106" t="s">
        <v>1898</v>
      </c>
      <c r="E106" t="s">
        <v>2056</v>
      </c>
      <c r="F106" s="25">
        <v>247</v>
      </c>
      <c r="G106" s="299">
        <v>6380530</v>
      </c>
      <c r="H106" s="25">
        <v>217</v>
      </c>
      <c r="I106" s="299">
        <v>5651830</v>
      </c>
    </row>
    <row r="107" spans="1:9" x14ac:dyDescent="0.2">
      <c r="A107" t="s">
        <v>1368</v>
      </c>
      <c r="B107" t="s">
        <v>2068</v>
      </c>
      <c r="C107" s="25">
        <v>2</v>
      </c>
      <c r="D107" t="s">
        <v>1895</v>
      </c>
      <c r="E107" t="s">
        <v>2022</v>
      </c>
      <c r="F107" s="25">
        <v>129</v>
      </c>
      <c r="G107" s="299">
        <v>3320710</v>
      </c>
      <c r="H107" s="25">
        <v>115</v>
      </c>
      <c r="I107" s="299">
        <v>2955850</v>
      </c>
    </row>
    <row r="108" spans="1:9" x14ac:dyDescent="0.2">
      <c r="A108">
        <v>798629603</v>
      </c>
      <c r="B108" t="s">
        <v>2069</v>
      </c>
      <c r="C108" s="25">
        <v>3</v>
      </c>
      <c r="D108" t="s">
        <v>1945</v>
      </c>
      <c r="E108" t="s">
        <v>1967</v>
      </c>
      <c r="F108" s="25">
        <v>240</v>
      </c>
      <c r="G108" s="299">
        <v>6077600</v>
      </c>
      <c r="H108" s="25">
        <v>234</v>
      </c>
      <c r="I108" s="299">
        <v>5927660</v>
      </c>
    </row>
    <row r="109" spans="1:9" x14ac:dyDescent="0.2">
      <c r="A109">
        <v>799824906</v>
      </c>
      <c r="B109" t="s">
        <v>2070</v>
      </c>
      <c r="C109" s="25">
        <v>42</v>
      </c>
      <c r="D109" t="s">
        <v>2071</v>
      </c>
      <c r="E109" t="s">
        <v>1998</v>
      </c>
      <c r="F109" s="25">
        <v>2190</v>
      </c>
      <c r="G109" s="299">
        <v>55418100</v>
      </c>
      <c r="H109" s="25">
        <v>2046</v>
      </c>
      <c r="I109" s="299">
        <v>51787540</v>
      </c>
    </row>
    <row r="110" spans="1:9" x14ac:dyDescent="0.2">
      <c r="A110">
        <v>808569000</v>
      </c>
      <c r="B110" t="s">
        <v>2072</v>
      </c>
      <c r="C110" s="25">
        <v>6</v>
      </c>
      <c r="D110" t="s">
        <v>1898</v>
      </c>
      <c r="E110" t="s">
        <v>1949</v>
      </c>
      <c r="F110" s="25">
        <v>98</v>
      </c>
      <c r="G110" s="299">
        <v>2463020</v>
      </c>
      <c r="H110" s="25">
        <v>92</v>
      </c>
      <c r="I110" s="299">
        <v>2313080</v>
      </c>
    </row>
    <row r="111" spans="1:9" x14ac:dyDescent="0.2">
      <c r="A111">
        <v>812103008</v>
      </c>
      <c r="B111" t="s">
        <v>2073</v>
      </c>
      <c r="C111" s="25">
        <v>13</v>
      </c>
      <c r="D111" t="s">
        <v>1941</v>
      </c>
      <c r="E111" t="s">
        <v>1990</v>
      </c>
      <c r="F111" s="25">
        <v>168</v>
      </c>
      <c r="G111" s="299">
        <v>4328320</v>
      </c>
      <c r="H111" s="25">
        <v>157</v>
      </c>
      <c r="I111" s="299">
        <v>4045430</v>
      </c>
    </row>
    <row r="112" spans="1:9" x14ac:dyDescent="0.2">
      <c r="A112">
        <v>812425005</v>
      </c>
      <c r="B112" t="s">
        <v>2074</v>
      </c>
      <c r="C112" s="25">
        <v>2</v>
      </c>
      <c r="D112" t="s">
        <v>1895</v>
      </c>
      <c r="E112" t="s">
        <v>2015</v>
      </c>
      <c r="F112" s="25">
        <v>367</v>
      </c>
      <c r="G112" s="299">
        <v>9501330</v>
      </c>
      <c r="H112" s="25">
        <v>330</v>
      </c>
      <c r="I112" s="299">
        <v>8543700</v>
      </c>
    </row>
    <row r="113" spans="1:9" x14ac:dyDescent="0.2">
      <c r="A113">
        <v>820166000</v>
      </c>
      <c r="B113" t="s">
        <v>2075</v>
      </c>
      <c r="C113" s="25">
        <v>12</v>
      </c>
      <c r="D113" t="s">
        <v>1901</v>
      </c>
      <c r="E113" t="s">
        <v>2033</v>
      </c>
      <c r="F113" s="25">
        <v>152</v>
      </c>
      <c r="G113" s="299">
        <v>3811480</v>
      </c>
      <c r="H113" s="25">
        <v>133</v>
      </c>
      <c r="I113" s="299">
        <v>3323670</v>
      </c>
    </row>
    <row r="114" spans="1:9" x14ac:dyDescent="0.2">
      <c r="A114">
        <v>837158001</v>
      </c>
      <c r="B114" t="s">
        <v>2076</v>
      </c>
      <c r="C114" s="25">
        <v>13</v>
      </c>
      <c r="D114" t="s">
        <v>1941</v>
      </c>
      <c r="E114" t="s">
        <v>1952</v>
      </c>
      <c r="F114" s="25">
        <v>108</v>
      </c>
      <c r="G114" s="299">
        <v>2782920</v>
      </c>
      <c r="H114" s="25">
        <v>91</v>
      </c>
      <c r="I114" s="299">
        <v>2353090</v>
      </c>
    </row>
    <row r="115" spans="1:9" x14ac:dyDescent="0.2">
      <c r="A115">
        <v>856907007</v>
      </c>
      <c r="B115" t="s">
        <v>2077</v>
      </c>
      <c r="C115" s="25">
        <v>13</v>
      </c>
      <c r="D115" t="s">
        <v>1941</v>
      </c>
      <c r="E115" t="s">
        <v>1942</v>
      </c>
      <c r="F115" s="25">
        <v>1254</v>
      </c>
      <c r="G115" s="299">
        <v>32154460</v>
      </c>
      <c r="H115" s="25">
        <v>1102</v>
      </c>
      <c r="I115" s="299">
        <v>28166980</v>
      </c>
    </row>
    <row r="116" spans="1:9" x14ac:dyDescent="0.2">
      <c r="A116">
        <v>869336009</v>
      </c>
      <c r="B116" t="s">
        <v>2078</v>
      </c>
      <c r="C116" s="25">
        <v>2</v>
      </c>
      <c r="D116" t="s">
        <v>1895</v>
      </c>
      <c r="E116" t="s">
        <v>2026</v>
      </c>
      <c r="F116" s="25">
        <v>50</v>
      </c>
      <c r="G116" s="299">
        <v>1249500</v>
      </c>
      <c r="H116" s="25">
        <v>49</v>
      </c>
      <c r="I116" s="299">
        <v>1224510</v>
      </c>
    </row>
    <row r="117" spans="1:9" x14ac:dyDescent="0.2">
      <c r="A117">
        <v>892586004</v>
      </c>
      <c r="B117" t="s">
        <v>2079</v>
      </c>
      <c r="C117" s="25">
        <v>13</v>
      </c>
      <c r="D117" t="s">
        <v>1941</v>
      </c>
      <c r="E117" t="s">
        <v>1998</v>
      </c>
      <c r="F117" s="25">
        <v>481</v>
      </c>
      <c r="G117" s="299">
        <v>12363190</v>
      </c>
      <c r="H117" s="25">
        <v>454</v>
      </c>
      <c r="I117" s="299">
        <v>11679460</v>
      </c>
    </row>
    <row r="118" spans="1:9" x14ac:dyDescent="0.2">
      <c r="A118">
        <v>929460006</v>
      </c>
      <c r="B118" t="s">
        <v>2080</v>
      </c>
      <c r="C118" s="25">
        <v>2</v>
      </c>
      <c r="D118" t="s">
        <v>1895</v>
      </c>
      <c r="E118" t="s">
        <v>2000</v>
      </c>
      <c r="F118" s="25">
        <v>640</v>
      </c>
      <c r="G118" s="299">
        <v>16482600</v>
      </c>
      <c r="H118" s="25">
        <v>534</v>
      </c>
      <c r="I118" s="299">
        <v>13672660</v>
      </c>
    </row>
    <row r="119" spans="1:9" x14ac:dyDescent="0.2">
      <c r="A119">
        <v>932240009</v>
      </c>
      <c r="B119" t="s">
        <v>2081</v>
      </c>
      <c r="C119" s="25">
        <v>2</v>
      </c>
      <c r="D119" t="s">
        <v>1895</v>
      </c>
      <c r="E119" t="s">
        <v>2005</v>
      </c>
      <c r="F119" s="25">
        <v>1848</v>
      </c>
      <c r="G119" s="299">
        <v>47623520</v>
      </c>
      <c r="H119" s="25">
        <v>1781</v>
      </c>
      <c r="I119" s="299">
        <v>45855190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D13"/>
  <sheetViews>
    <sheetView workbookViewId="0">
      <selection activeCell="B20" sqref="B20"/>
    </sheetView>
  </sheetViews>
  <sheetFormatPr baseColWidth="10" defaultRowHeight="15" x14ac:dyDescent="0.25"/>
  <cols>
    <col min="1" max="1" width="11.42578125" style="26"/>
    <col min="2" max="2" width="50.28515625" style="26" customWidth="1"/>
    <col min="3" max="3" width="11.42578125" style="25"/>
  </cols>
  <sheetData>
    <row r="1" spans="1:4" ht="15.75" x14ac:dyDescent="0.25">
      <c r="A1" s="408" t="s">
        <v>1027</v>
      </c>
      <c r="B1" s="408"/>
      <c r="C1" s="408"/>
      <c r="D1" s="408"/>
    </row>
    <row r="2" spans="1:4" x14ac:dyDescent="0.25">
      <c r="D2" s="27"/>
    </row>
    <row r="3" spans="1:4" x14ac:dyDescent="0.25">
      <c r="A3" s="30" t="s">
        <v>993</v>
      </c>
      <c r="B3" s="30" t="s">
        <v>900</v>
      </c>
      <c r="C3" s="31" t="s">
        <v>632</v>
      </c>
    </row>
    <row r="4" spans="1:4" s="24" customFormat="1" ht="14.25" x14ac:dyDescent="0.2">
      <c r="A4" s="29">
        <v>1</v>
      </c>
      <c r="B4" s="29" t="s">
        <v>994</v>
      </c>
      <c r="C4" s="28">
        <v>0.05</v>
      </c>
    </row>
    <row r="5" spans="1:4" s="24" customFormat="1" ht="14.25" x14ac:dyDescent="0.2">
      <c r="A5" s="29">
        <v>2</v>
      </c>
      <c r="B5" s="29" t="s">
        <v>995</v>
      </c>
      <c r="C5" s="28">
        <v>0.05</v>
      </c>
    </row>
    <row r="6" spans="1:4" s="24" customFormat="1" ht="14.25" x14ac:dyDescent="0.2">
      <c r="A6" s="29">
        <v>3</v>
      </c>
      <c r="B6" s="29" t="s">
        <v>996</v>
      </c>
      <c r="C6" s="28">
        <v>0.05</v>
      </c>
    </row>
    <row r="7" spans="1:4" s="24" customFormat="1" ht="14.25" x14ac:dyDescent="0.2">
      <c r="A7" s="29">
        <v>4</v>
      </c>
      <c r="B7" s="29" t="s">
        <v>869</v>
      </c>
      <c r="C7" s="28" t="s">
        <v>1001</v>
      </c>
    </row>
    <row r="8" spans="1:4" s="24" customFormat="1" ht="14.25" x14ac:dyDescent="0.2">
      <c r="A8" s="29">
        <v>5</v>
      </c>
      <c r="B8" s="29" t="s">
        <v>997</v>
      </c>
      <c r="C8" s="28">
        <v>0.05</v>
      </c>
    </row>
    <row r="9" spans="1:4" s="24" customFormat="1" ht="14.25" x14ac:dyDescent="0.2">
      <c r="A9" s="29">
        <v>6</v>
      </c>
      <c r="B9" s="29" t="s">
        <v>998</v>
      </c>
      <c r="C9" s="28">
        <v>0.05</v>
      </c>
    </row>
    <row r="10" spans="1:4" s="24" customFormat="1" ht="14.25" x14ac:dyDescent="0.2">
      <c r="A10" s="29">
        <v>7</v>
      </c>
      <c r="B10" s="29" t="s">
        <v>999</v>
      </c>
      <c r="C10" s="28">
        <v>0.05</v>
      </c>
    </row>
    <row r="11" spans="1:4" s="24" customFormat="1" ht="14.25" x14ac:dyDescent="0.2">
      <c r="A11" s="29">
        <v>8</v>
      </c>
      <c r="B11" s="29" t="s">
        <v>1000</v>
      </c>
      <c r="C11" s="28">
        <v>0.05</v>
      </c>
    </row>
    <row r="12" spans="1:4" ht="14.25" x14ac:dyDescent="0.2">
      <c r="A12" s="29">
        <v>9</v>
      </c>
      <c r="B12" s="29" t="s">
        <v>516</v>
      </c>
      <c r="C12" s="28">
        <v>0.05</v>
      </c>
    </row>
    <row r="13" spans="1:4" ht="14.25" x14ac:dyDescent="0.2">
      <c r="A13" s="29">
        <v>10</v>
      </c>
      <c r="B13" s="29" t="s">
        <v>1004</v>
      </c>
      <c r="C13" s="28">
        <v>0.05</v>
      </c>
    </row>
  </sheetData>
  <mergeCells count="1">
    <mergeCell ref="A1:D1"/>
  </mergeCells>
  <pageMargins left="1.05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/>
  <dimension ref="A2:E37"/>
  <sheetViews>
    <sheetView workbookViewId="0">
      <selection activeCell="D37" sqref="D37"/>
    </sheetView>
  </sheetViews>
  <sheetFormatPr baseColWidth="10" defaultRowHeight="12.75" x14ac:dyDescent="0.2"/>
  <cols>
    <col min="2" max="2" width="7.42578125" customWidth="1"/>
    <col min="3" max="3" width="27.7109375" customWidth="1"/>
    <col min="4" max="4" width="17.7109375" customWidth="1"/>
  </cols>
  <sheetData>
    <row r="2" spans="1:5" ht="15.75" x14ac:dyDescent="0.25">
      <c r="A2" s="408" t="s">
        <v>1026</v>
      </c>
      <c r="B2" s="408"/>
      <c r="C2" s="408"/>
      <c r="D2" s="408"/>
      <c r="E2" s="408"/>
    </row>
    <row r="4" spans="1:5" ht="15" x14ac:dyDescent="0.25">
      <c r="B4" s="30" t="s">
        <v>993</v>
      </c>
      <c r="C4" s="30" t="s">
        <v>900</v>
      </c>
      <c r="D4" s="30" t="s">
        <v>632</v>
      </c>
    </row>
    <row r="5" spans="1:5" x14ac:dyDescent="0.2">
      <c r="B5" s="32">
        <v>1</v>
      </c>
      <c r="C5" s="33" t="s">
        <v>1002</v>
      </c>
      <c r="D5" s="34">
        <v>0.05</v>
      </c>
    </row>
    <row r="6" spans="1:5" x14ac:dyDescent="0.2">
      <c r="B6" s="32">
        <v>2</v>
      </c>
      <c r="C6" s="35" t="s">
        <v>1003</v>
      </c>
      <c r="D6" s="34">
        <v>0.05</v>
      </c>
    </row>
    <row r="7" spans="1:5" x14ac:dyDescent="0.2">
      <c r="B7" s="32">
        <v>3</v>
      </c>
      <c r="C7" s="35" t="s">
        <v>516</v>
      </c>
      <c r="D7" s="34">
        <v>0.05</v>
      </c>
    </row>
    <row r="8" spans="1:5" x14ac:dyDescent="0.2">
      <c r="B8" s="32">
        <v>4</v>
      </c>
      <c r="C8" s="35" t="s">
        <v>1004</v>
      </c>
      <c r="D8" s="34">
        <v>0.05</v>
      </c>
    </row>
    <row r="9" spans="1:5" x14ac:dyDescent="0.2">
      <c r="B9" s="32">
        <v>5</v>
      </c>
      <c r="C9" s="35" t="s">
        <v>845</v>
      </c>
      <c r="D9" s="34">
        <v>0.05</v>
      </c>
    </row>
    <row r="10" spans="1:5" x14ac:dyDescent="0.2">
      <c r="B10" s="32">
        <v>6</v>
      </c>
      <c r="C10" s="35" t="s">
        <v>1005</v>
      </c>
      <c r="D10" s="34">
        <v>0.05</v>
      </c>
    </row>
    <row r="11" spans="1:5" x14ac:dyDescent="0.2">
      <c r="B11" s="32">
        <v>7</v>
      </c>
      <c r="C11" s="35" t="s">
        <v>1006</v>
      </c>
      <c r="D11" s="34">
        <v>0.05</v>
      </c>
    </row>
    <row r="12" spans="1:5" x14ac:dyDescent="0.2">
      <c r="B12" s="32">
        <v>8</v>
      </c>
      <c r="C12" s="35" t="s">
        <v>1007</v>
      </c>
      <c r="D12" s="34">
        <v>0.05</v>
      </c>
    </row>
    <row r="13" spans="1:5" x14ac:dyDescent="0.2">
      <c r="B13" s="32">
        <v>9</v>
      </c>
      <c r="C13" s="35" t="s">
        <v>577</v>
      </c>
      <c r="D13" s="34">
        <v>0.05</v>
      </c>
    </row>
    <row r="14" spans="1:5" x14ac:dyDescent="0.2">
      <c r="B14" s="32">
        <v>10</v>
      </c>
      <c r="C14" s="35" t="s">
        <v>1008</v>
      </c>
      <c r="D14" s="34">
        <v>0.05</v>
      </c>
    </row>
    <row r="15" spans="1:5" x14ac:dyDescent="0.2">
      <c r="B15" s="32">
        <v>11</v>
      </c>
      <c r="C15" s="35" t="s">
        <v>1009</v>
      </c>
      <c r="D15" s="34">
        <v>0.05</v>
      </c>
    </row>
    <row r="16" spans="1:5" x14ac:dyDescent="0.2">
      <c r="B16" s="32">
        <v>12</v>
      </c>
      <c r="C16" s="35" t="s">
        <v>1010</v>
      </c>
      <c r="D16" s="34">
        <v>0.05</v>
      </c>
    </row>
    <row r="17" spans="2:4" x14ac:dyDescent="0.2">
      <c r="B17" s="32">
        <v>13</v>
      </c>
      <c r="C17" s="35" t="s">
        <v>238</v>
      </c>
      <c r="D17" s="34">
        <v>0.05</v>
      </c>
    </row>
    <row r="18" spans="2:4" x14ac:dyDescent="0.2">
      <c r="B18" s="32">
        <v>14</v>
      </c>
      <c r="C18" s="35" t="s">
        <v>1011</v>
      </c>
      <c r="D18" s="34">
        <v>0.05</v>
      </c>
    </row>
    <row r="19" spans="2:4" x14ac:dyDescent="0.2">
      <c r="B19" s="32">
        <v>15</v>
      </c>
      <c r="C19" s="35" t="s">
        <v>1012</v>
      </c>
      <c r="D19" s="34">
        <v>0.05</v>
      </c>
    </row>
    <row r="20" spans="2:4" x14ac:dyDescent="0.2">
      <c r="B20" s="32">
        <v>16</v>
      </c>
      <c r="C20" s="35" t="s">
        <v>1013</v>
      </c>
      <c r="D20" s="34">
        <v>0.05</v>
      </c>
    </row>
    <row r="21" spans="2:4" x14ac:dyDescent="0.2">
      <c r="B21" s="32">
        <v>17</v>
      </c>
      <c r="C21" s="35" t="s">
        <v>905</v>
      </c>
      <c r="D21" s="34">
        <v>0.05</v>
      </c>
    </row>
    <row r="22" spans="2:4" x14ac:dyDescent="0.2">
      <c r="B22" s="32">
        <v>18</v>
      </c>
      <c r="C22" s="35" t="s">
        <v>1014</v>
      </c>
      <c r="D22" s="34">
        <v>0.05</v>
      </c>
    </row>
    <row r="23" spans="2:4" x14ac:dyDescent="0.2">
      <c r="B23" s="32">
        <v>19</v>
      </c>
      <c r="C23" s="35" t="s">
        <v>1015</v>
      </c>
      <c r="D23" s="34">
        <v>0.05</v>
      </c>
    </row>
    <row r="24" spans="2:4" x14ac:dyDescent="0.2">
      <c r="B24" s="32">
        <v>20</v>
      </c>
      <c r="C24" s="35" t="s">
        <v>1016</v>
      </c>
      <c r="D24" s="34">
        <v>0.05</v>
      </c>
    </row>
    <row r="25" spans="2:4" x14ac:dyDescent="0.2">
      <c r="B25" s="32">
        <v>21</v>
      </c>
      <c r="C25" s="35" t="s">
        <v>1017</v>
      </c>
      <c r="D25" s="34">
        <v>0.05</v>
      </c>
    </row>
    <row r="26" spans="2:4" x14ac:dyDescent="0.2">
      <c r="B26" s="32">
        <v>22</v>
      </c>
      <c r="C26" s="35" t="s">
        <v>1018</v>
      </c>
      <c r="D26" s="34">
        <v>0.05</v>
      </c>
    </row>
    <row r="27" spans="2:4" x14ac:dyDescent="0.2">
      <c r="B27" s="32">
        <v>23</v>
      </c>
      <c r="C27" s="35" t="s">
        <v>1019</v>
      </c>
      <c r="D27" s="34">
        <v>0.05</v>
      </c>
    </row>
    <row r="28" spans="2:4" x14ac:dyDescent="0.2">
      <c r="B28" s="32">
        <v>24</v>
      </c>
      <c r="C28" s="35" t="s">
        <v>1020</v>
      </c>
      <c r="D28" s="34">
        <v>0.05</v>
      </c>
    </row>
    <row r="29" spans="2:4" x14ac:dyDescent="0.2">
      <c r="B29" s="32">
        <v>25</v>
      </c>
      <c r="C29" s="35" t="s">
        <v>1021</v>
      </c>
      <c r="D29" s="34">
        <v>0.05</v>
      </c>
    </row>
    <row r="30" spans="2:4" x14ac:dyDescent="0.2">
      <c r="B30" s="32">
        <v>26</v>
      </c>
      <c r="C30" s="35" t="s">
        <v>1022</v>
      </c>
      <c r="D30" s="34">
        <v>0.05</v>
      </c>
    </row>
    <row r="31" spans="2:4" x14ac:dyDescent="0.2">
      <c r="B31" s="32">
        <v>27</v>
      </c>
      <c r="C31" s="35" t="s">
        <v>1023</v>
      </c>
      <c r="D31" s="34">
        <v>0.05</v>
      </c>
    </row>
    <row r="32" spans="2:4" x14ac:dyDescent="0.2">
      <c r="B32" s="32">
        <v>28</v>
      </c>
      <c r="C32" s="35" t="s">
        <v>1024</v>
      </c>
      <c r="D32" s="34">
        <v>0.05</v>
      </c>
    </row>
    <row r="33" spans="2:4" x14ac:dyDescent="0.2">
      <c r="B33" s="32">
        <v>29</v>
      </c>
      <c r="C33" s="35" t="s">
        <v>664</v>
      </c>
      <c r="D33" s="34">
        <v>0.05</v>
      </c>
    </row>
    <row r="34" spans="2:4" x14ac:dyDescent="0.2">
      <c r="B34" s="32">
        <v>30</v>
      </c>
      <c r="C34" s="35" t="s">
        <v>1025</v>
      </c>
      <c r="D34" s="34">
        <v>0.05</v>
      </c>
    </row>
    <row r="35" spans="2:4" x14ac:dyDescent="0.2">
      <c r="B35" s="32">
        <v>31</v>
      </c>
      <c r="C35" s="35" t="s">
        <v>432</v>
      </c>
      <c r="D35" s="34">
        <v>0.05</v>
      </c>
    </row>
    <row r="36" spans="2:4" x14ac:dyDescent="0.2">
      <c r="B36" s="32">
        <v>32</v>
      </c>
      <c r="C36" s="35" t="s">
        <v>1030</v>
      </c>
      <c r="D36" s="34">
        <v>0.05</v>
      </c>
    </row>
    <row r="37" spans="2:4" x14ac:dyDescent="0.2">
      <c r="B37" s="36">
        <v>33</v>
      </c>
      <c r="C37" s="37" t="s">
        <v>1032</v>
      </c>
      <c r="D37" s="38">
        <v>0.05</v>
      </c>
    </row>
  </sheetData>
  <mergeCells count="1">
    <mergeCell ref="A2:E2"/>
  </mergeCells>
  <pageMargins left="0.70866141732283472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D13"/>
  <sheetViews>
    <sheetView workbookViewId="0">
      <selection activeCell="H3" sqref="H3"/>
    </sheetView>
  </sheetViews>
  <sheetFormatPr baseColWidth="10" defaultRowHeight="12.75" x14ac:dyDescent="0.2"/>
  <cols>
    <col min="2" max="2" width="47" customWidth="1"/>
  </cols>
  <sheetData>
    <row r="1" spans="1:4" ht="15.75" x14ac:dyDescent="0.25">
      <c r="A1" s="408" t="s">
        <v>1027</v>
      </c>
      <c r="B1" s="408"/>
      <c r="C1" s="408"/>
      <c r="D1" s="408"/>
    </row>
    <row r="2" spans="1:4" ht="15" x14ac:dyDescent="0.25">
      <c r="A2" s="26"/>
      <c r="B2" s="26"/>
      <c r="C2" s="25"/>
      <c r="D2" s="27"/>
    </row>
    <row r="3" spans="1:4" ht="15" x14ac:dyDescent="0.25">
      <c r="A3" s="30" t="s">
        <v>993</v>
      </c>
      <c r="B3" s="30" t="s">
        <v>900</v>
      </c>
      <c r="C3" s="31" t="s">
        <v>632</v>
      </c>
    </row>
    <row r="4" spans="1:4" ht="14.25" x14ac:dyDescent="0.2">
      <c r="A4" s="29">
        <v>1</v>
      </c>
      <c r="B4" s="29" t="s">
        <v>994</v>
      </c>
      <c r="C4" s="28">
        <v>0.05</v>
      </c>
      <c r="D4" s="24"/>
    </row>
    <row r="5" spans="1:4" ht="14.25" x14ac:dyDescent="0.2">
      <c r="A5" s="29">
        <v>2</v>
      </c>
      <c r="B5" s="29" t="s">
        <v>995</v>
      </c>
      <c r="C5" s="28">
        <v>0.05</v>
      </c>
      <c r="D5" s="24"/>
    </row>
    <row r="6" spans="1:4" ht="14.25" x14ac:dyDescent="0.2">
      <c r="A6" s="29">
        <v>3</v>
      </c>
      <c r="B6" s="29" t="s">
        <v>996</v>
      </c>
      <c r="C6" s="28">
        <v>0.05</v>
      </c>
      <c r="D6" s="24"/>
    </row>
    <row r="7" spans="1:4" ht="14.25" x14ac:dyDescent="0.2">
      <c r="A7" s="29">
        <v>4</v>
      </c>
      <c r="B7" s="29" t="s">
        <v>869</v>
      </c>
      <c r="C7" s="28" t="s">
        <v>1001</v>
      </c>
      <c r="D7" s="24"/>
    </row>
    <row r="8" spans="1:4" ht="14.25" x14ac:dyDescent="0.2">
      <c r="A8" s="29">
        <v>5</v>
      </c>
      <c r="B8" s="29" t="s">
        <v>997</v>
      </c>
      <c r="C8" s="28">
        <v>0.05</v>
      </c>
      <c r="D8" s="24"/>
    </row>
    <row r="9" spans="1:4" ht="14.25" x14ac:dyDescent="0.2">
      <c r="A9" s="29">
        <v>6</v>
      </c>
      <c r="B9" s="29" t="s">
        <v>998</v>
      </c>
      <c r="C9" s="28">
        <v>0.05</v>
      </c>
      <c r="D9" s="24"/>
    </row>
    <row r="10" spans="1:4" ht="14.25" x14ac:dyDescent="0.2">
      <c r="A10" s="29">
        <v>7</v>
      </c>
      <c r="B10" s="29" t="s">
        <v>999</v>
      </c>
      <c r="C10" s="28">
        <v>0.05</v>
      </c>
      <c r="D10" s="24"/>
    </row>
    <row r="11" spans="1:4" ht="14.25" x14ac:dyDescent="0.2">
      <c r="A11" s="29">
        <v>8</v>
      </c>
      <c r="B11" s="29" t="s">
        <v>1000</v>
      </c>
      <c r="C11" s="28">
        <v>0.05</v>
      </c>
      <c r="D11" s="24"/>
    </row>
    <row r="12" spans="1:4" ht="14.25" x14ac:dyDescent="0.2">
      <c r="A12" s="29">
        <v>9</v>
      </c>
      <c r="B12" s="29" t="s">
        <v>516</v>
      </c>
      <c r="C12" s="28">
        <v>0.05</v>
      </c>
    </row>
    <row r="13" spans="1:4" ht="14.25" x14ac:dyDescent="0.2">
      <c r="A13" s="29">
        <v>10</v>
      </c>
      <c r="B13" s="29" t="s">
        <v>1004</v>
      </c>
      <c r="C13" s="28">
        <v>0.05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</vt:i4>
      </vt:variant>
    </vt:vector>
  </HeadingPairs>
  <TitlesOfParts>
    <vt:vector size="18" baseType="lpstr">
      <vt:lpstr>TOMA DE PEDIDOS</vt:lpstr>
      <vt:lpstr>Hoja2</vt:lpstr>
      <vt:lpstr>Hoja1</vt:lpstr>
      <vt:lpstr>BD jeans Dama</vt:lpstr>
      <vt:lpstr>Respaldo</vt:lpstr>
      <vt:lpstr>BASE DE DATOS OFICIAL</vt:lpstr>
      <vt:lpstr>BD_COMPARATIVA</vt:lpstr>
      <vt:lpstr>TRAYECTORIA</vt:lpstr>
      <vt:lpstr>DESCUENTO COLE 18</vt:lpstr>
      <vt:lpstr>CONTRAFACTURA</vt:lpstr>
      <vt:lpstr>jeans</vt:lpstr>
      <vt:lpstr>jeansss</vt:lpstr>
      <vt:lpstr>jnss</vt:lpstr>
      <vt:lpstr>L</vt:lpstr>
      <vt:lpstr>matof</vt:lpstr>
      <vt:lpstr>matrizoficial</vt:lpstr>
      <vt:lpstr>PLANILLA1</vt:lpstr>
      <vt:lpstr>PLANILLAMOD</vt:lpstr>
    </vt:vector>
  </TitlesOfParts>
  <Company>MHC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Nota de pedido</dc:title>
  <dc:subject>Colección 76</dc:subject>
  <dc:creator>MOHICANO</dc:creator>
  <cp:lastModifiedBy>Control e Inventarios</cp:lastModifiedBy>
  <cp:lastPrinted>2025-11-12T16:16:01Z</cp:lastPrinted>
  <dcterms:created xsi:type="dcterms:W3CDTF">2012-01-21T00:26:35Z</dcterms:created>
  <dcterms:modified xsi:type="dcterms:W3CDTF">2026-03-13T14:04:37Z</dcterms:modified>
</cp:coreProperties>
</file>